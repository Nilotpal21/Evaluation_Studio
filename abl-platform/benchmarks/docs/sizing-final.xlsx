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8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hroughput Calculator" sheetId="2" state="visible" r:id="rId2"/>
    <sheet xmlns:r="http://schemas.openxmlformats.org/officeDocument/2006/relationships" name="Sizing &amp; Cost" sheetId="3" state="visible" r:id="rId3"/>
  </sheets>
  <definedNames>
    <definedName name="_xlnm._FilterDatabase" localSheetId="0" hidden="1">'Assumptions'!$A$1:$B$9</definedName>
    <definedName name="_xlnm._FilterDatabase" localSheetId="1" hidden="1">'Throughput Calculator'!$A$1:$D$25</definedName>
    <definedName name="_xlnm._FilterDatabase" localSheetId="2" hidden="1">'Sizing &amp; Cost'!$A$1:$R$178</definedName>
  </definedNames>
  <calcPr calcId="124519" calcMode="auto" fullCalcOnLoad="1" calcCompleted="0"/>
</workbook>
</file>

<file path=xl/styles.xml><?xml version="1.0" encoding="utf-8"?>
<styleSheet xmlns="http://schemas.openxmlformats.org/spreadsheetml/2006/main">
  <numFmts count="7">
    <numFmt numFmtId="164" formatCode="0.0"/>
    <numFmt numFmtId="165" formatCode="&quot;$&quot;#,##0"/>
    <numFmt numFmtId="166" formatCode="&quot;$&quot;0.0000"/>
    <numFmt numFmtId="167" formatCode="&quot;$&quot;0.000"/>
    <numFmt numFmtId="168" formatCode="0.000"/>
    <numFmt numFmtId="169" formatCode="&quot;$&quot;#,##0.00"/>
    <numFmt numFmtId="170" formatCode="#,##0.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  <color rgb="00FFFFFF"/>
      <sz val="10"/>
    </font>
    <font>
      <b val="1"/>
    </font>
    <font>
      <name val="Segoe UI"/>
      <sz val="10"/>
    </font>
    <font>
      <b val="1"/>
      <color rgb="001F2937"/>
      <sz val="10"/>
    </font>
  </fonts>
  <fills count="17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F8FBFD"/>
      </patternFill>
    </fill>
    <fill>
      <patternFill patternType="solid">
        <fgColor rgb="002F5496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4F8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0E0"/>
      </patternFill>
    </fill>
    <fill>
      <patternFill patternType="solid">
        <fgColor rgb="00E4DFEC"/>
      </patternFill>
    </fill>
    <fill>
      <patternFill patternType="solid">
        <fgColor rgb="00EDEDED"/>
      </patternFill>
    </fill>
    <fill>
      <patternFill patternType="solid">
        <fgColor rgb="00F8F8F8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0" fillId="6" borderId="2" applyAlignment="1" applyProtection="1" pivotButton="0" quotePrefix="0" xfId="0">
      <alignment horizontal="center" vertical="center"/>
      <protection locked="0" hidden="0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164" fontId="0" fillId="6" borderId="2" applyAlignment="1" applyProtection="1" pivotButton="0" quotePrefix="0" xfId="0">
      <alignment horizontal="center" vertical="center"/>
      <protection locked="0" hidden="0"/>
    </xf>
    <xf numFmtId="1" fontId="0" fillId="6" borderId="2" applyAlignment="1" applyProtection="1" pivotButton="0" quotePrefix="0" xfId="0">
      <alignment horizontal="center" vertical="center"/>
      <protection locked="0" hidden="0"/>
    </xf>
    <xf numFmtId="3" fontId="0" fillId="6" borderId="2" applyAlignment="1" applyProtection="1" pivotButton="0" quotePrefix="0" xfId="0">
      <alignment horizontal="center" vertical="center"/>
      <protection locked="0" hidden="0"/>
    </xf>
    <xf numFmtId="0" fontId="3" fillId="13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3" fontId="0" fillId="7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170" fontId="0" fillId="16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3" borderId="2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5" fillId="5" borderId="2" applyAlignment="1" applyProtection="1" pivotButton="0" quotePrefix="0" xfId="0">
      <alignment horizontal="center" vertical="center"/>
      <protection locked="0" hidden="0"/>
    </xf>
    <xf numFmtId="9" fontId="0" fillId="6" borderId="2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" fontId="0" fillId="7" borderId="2" applyAlignment="1" pivotButton="0" quotePrefix="0" xfId="0">
      <alignment horizontal="center" vertical="center"/>
    </xf>
    <xf numFmtId="165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166" fontId="0" fillId="7" borderId="2" applyAlignment="1" pivotButton="0" quotePrefix="0" xfId="0">
      <alignment horizontal="center" vertical="center"/>
    </xf>
    <xf numFmtId="167" fontId="0" fillId="7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/>
    </xf>
    <xf numFmtId="168" fontId="0" fillId="7" borderId="2" applyAlignment="1" pivotButton="0" quotePrefix="0" xfId="0">
      <alignment horizontal="center" vertical="center"/>
    </xf>
    <xf numFmtId="2" fontId="5" fillId="7" borderId="2" applyAlignment="1" pivotButton="0" quotePrefix="0" xfId="0">
      <alignment horizontal="center" vertical="center"/>
    </xf>
    <xf numFmtId="1" fontId="5" fillId="7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0" fontId="7" fillId="12" borderId="2" applyAlignment="1" pivotButton="0" quotePrefix="0" xfId="0">
      <alignment horizontal="left" vertical="center"/>
    </xf>
    <xf numFmtId="0" fontId="7" fillId="13" borderId="2" applyAlignment="1" pivotButton="0" quotePrefix="0" xfId="0">
      <alignment horizontal="left" vertical="center"/>
    </xf>
    <xf numFmtId="0" fontId="7" fillId="14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15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center" vertical="center"/>
    </xf>
    <xf numFmtId="1" fontId="5" fillId="6" borderId="2" applyAlignment="1" applyProtection="1" pivotButton="0" quotePrefix="0" xfId="0">
      <alignment horizontal="center" vertical="center"/>
      <protection locked="0" hidden="0"/>
    </xf>
    <xf numFmtId="165" fontId="5" fillId="6" borderId="2" applyAlignment="1" applyProtection="1" pivotButton="0" quotePrefix="0" xfId="0">
      <alignment horizontal="center" vertical="center"/>
      <protection locked="0" hidden="0"/>
    </xf>
    <xf numFmtId="3" fontId="5" fillId="7" borderId="2" applyAlignment="1" pivotButton="0" quotePrefix="0" xfId="0">
      <alignment horizontal="center" vertical="center"/>
    </xf>
    <xf numFmtId="165" fontId="1" fillId="1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9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5A5A5"/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21"/>
  <cols>
    <col width="8" customWidth="1" min="1" max="1"/>
    <col width="80" customWidth="1" min="2" max="2"/>
  </cols>
  <sheetData>
    <row r="1" ht="30" customHeight="1">
      <c r="A1" s="1" t="inlineStr">
        <is>
          <t>Assumptions and Notes</t>
        </is>
      </c>
    </row>
    <row r="2" ht="10" customHeight="1"/>
    <row r="3" ht="21" customHeight="1">
      <c r="A3" s="2" t="inlineStr">
        <is>
          <t>ASSUMPTIONS</t>
        </is>
      </c>
      <c r="B3" s="3" t="inlineStr"/>
    </row>
    <row r="4" ht="21" customHeight="1">
      <c r="A4" s="4" t="inlineStr">
        <is>
          <t>S.No</t>
        </is>
      </c>
      <c r="B4" s="5" t="inlineStr">
        <is>
          <t>Assumption and Notes</t>
        </is>
      </c>
    </row>
    <row r="5" ht="23" customHeight="1">
      <c r="A5" s="6" t="n">
        <v>1</v>
      </c>
      <c r="B5" s="7" t="inlineStr">
        <is>
          <t>The Agent Platform V2 hosting cost does not include any hosted models. V2 does not support NLP without an LLM, unlike XO. All agents must have an LLM.</t>
        </is>
      </c>
    </row>
    <row r="6" ht="23" customHeight="1">
      <c r="A6" s="6" t="n">
        <v>2</v>
      </c>
      <c r="B6" s="7" t="inlineStr">
        <is>
          <t>Software licenses for MongoDB and Redis are not included.</t>
        </is>
      </c>
    </row>
    <row r="7" ht="23" customHeight="1">
      <c r="A7" s="6" t="n">
        <v>3</v>
      </c>
      <c r="B7" s="7" t="inlineStr">
        <is>
          <t>Hosting Support cost is not included.</t>
        </is>
      </c>
    </row>
    <row r="8" ht="23" customHeight="1">
      <c r="A8" s="6" t="n">
        <v>4</v>
      </c>
      <c r="B8" s="7" t="inlineStr">
        <is>
          <t>External / Commercial models are required for agent reasoning and Search AI. External / commercial models cost is not included and borne by customer.</t>
        </is>
      </c>
    </row>
    <row r="9" ht="23" customHeight="1">
      <c r="A9" s="6" t="n">
        <v>5</v>
      </c>
      <c r="B9" s="7" t="inlineStr">
        <is>
          <t>Not considering the SearchAI in the sizing calculator.</t>
        </is>
      </c>
    </row>
  </sheetData>
  <sheetProtection selectLockedCells="1" selectUnlockedCells="1" sheet="1" objects="1" insertRows="0" insertHyperlinks="1" autoFilter="0" scenarios="1" formatColumns="0" deleteColumns="1" insertColumns="1" pivotTables="0" deleteRows="0" formatCells="0" formatRows="0" sort="0" password="CC62"/>
  <autoFilter ref="A1:B9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5A5A5"/>
    <outlinePr summaryBelow="1" summaryRight="1"/>
    <pageSetUpPr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21"/>
  <cols>
    <col width="32" customWidth="1" min="1" max="1"/>
    <col width="14" customWidth="1" min="2" max="2"/>
    <col width="10" customWidth="1" min="3" max="3"/>
    <col width="28" customWidth="1" min="4" max="4"/>
  </cols>
  <sheetData>
    <row r="1" ht="30" customHeight="1">
      <c r="A1" s="1" t="inlineStr">
        <is>
          <t>Throughput Calculator</t>
        </is>
      </c>
    </row>
    <row r="2" ht="10" customHeight="1"/>
    <row r="3" ht="21" customHeight="1">
      <c r="A3" s="2" t="inlineStr">
        <is>
          <t>INPUTS</t>
        </is>
      </c>
      <c r="B3" s="3" t="inlineStr"/>
      <c r="C3" s="3" t="inlineStr"/>
      <c r="D3" s="3" t="inlineStr"/>
    </row>
    <row r="4" ht="24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Notes</t>
        </is>
      </c>
    </row>
    <row r="5" ht="23" customHeight="1">
      <c r="A5" s="6" t="inlineStr">
        <is>
          <t>Channel type</t>
        </is>
      </c>
      <c r="B5" s="8" t="inlineStr">
        <is>
          <t>Webhook</t>
        </is>
      </c>
      <c r="C5" s="9" t="inlineStr">
        <is>
          <t>type</t>
        </is>
      </c>
      <c r="D5" s="10" t="inlineStr">
        <is>
          <t>Socket=4s, Webhook=5s, Voice=6s think time</t>
        </is>
      </c>
    </row>
    <row r="6" ht="23" customHeight="1">
      <c r="A6" s="11" t="inlineStr">
        <is>
          <t>Think time (delay between messages)</t>
        </is>
      </c>
      <c r="B6" s="12" t="n">
        <v>5</v>
      </c>
      <c r="C6" s="9" t="inlineStr">
        <is>
          <t>sec</t>
        </is>
      </c>
      <c r="D6" s="10" t="inlineStr">
        <is>
          <t>User pause before next message (channel dependent)</t>
        </is>
      </c>
    </row>
    <row r="7" ht="23" customHeight="1">
      <c r="A7" s="6" t="inlineStr">
        <is>
          <t>Session duration</t>
        </is>
      </c>
      <c r="B7" s="13" t="n">
        <v>300</v>
      </c>
      <c r="C7" s="9" t="inlineStr">
        <is>
          <t>sec</t>
        </is>
      </c>
      <c r="D7" s="10" t="inlineStr">
        <is>
          <t>Average conversation length (5 min = 300 sec)</t>
        </is>
      </c>
    </row>
    <row r="8" ht="23" customHeight="1">
      <c r="A8" s="11" t="inlineStr">
        <is>
          <t>Average response time per message</t>
        </is>
      </c>
      <c r="B8" s="12" t="n">
        <v>2</v>
      </c>
      <c r="C8" s="9" t="inlineStr">
        <is>
          <t>sec</t>
        </is>
      </c>
      <c r="D8" s="10" t="inlineStr">
        <is>
          <t>Bot processing + LLM latency per turn</t>
        </is>
      </c>
    </row>
    <row r="9" ht="23" customHeight="1">
      <c r="A9" s="6" t="inlineStr">
        <is>
          <t>Working days per month</t>
        </is>
      </c>
      <c r="B9" s="13" t="n">
        <v>22</v>
      </c>
      <c r="C9" s="9" t="inlineStr">
        <is>
          <t>days</t>
        </is>
      </c>
      <c r="D9" s="10" t="inlineStr">
        <is>
          <t>Business days; use 30 for 24/7 operations</t>
        </is>
      </c>
    </row>
    <row r="10" ht="23" customHeight="1">
      <c r="A10" s="11" t="inlineStr">
        <is>
          <t>% of transactions in peak hours</t>
        </is>
      </c>
      <c r="B10" s="13" t="n">
        <v>80</v>
      </c>
      <c r="C10" s="9" t="inlineStr">
        <is>
          <t>%</t>
        </is>
      </c>
      <c r="D10" s="10" t="inlineStr">
        <is>
          <t>Traffic concentration — 80% is typical enterprise</t>
        </is>
      </c>
    </row>
    <row r="11" ht="23" customHeight="1">
      <c r="A11" s="6" t="inlineStr">
        <is>
          <t>Peak hours per day</t>
        </is>
      </c>
      <c r="B11" s="13" t="n">
        <v>4</v>
      </c>
      <c r="C11" s="9" t="inlineStr">
        <is>
          <t>hours</t>
        </is>
      </c>
      <c r="D11" s="10" t="inlineStr">
        <is>
          <t>How many hours carry the peak traffic</t>
        </is>
      </c>
    </row>
    <row r="12" ht="23" customHeight="1">
      <c r="A12" s="6" t="inlineStr">
        <is>
          <t>Number of sessions per year</t>
        </is>
      </c>
      <c r="B12" s="14" t="n">
        <v>10000000</v>
      </c>
      <c r="C12" s="9" t="inlineStr">
        <is>
          <t>sessions</t>
        </is>
      </c>
      <c r="D12" s="10" t="inlineStr">
        <is>
          <t>← PRIMARY INPUT: total annual bot session volume</t>
        </is>
      </c>
    </row>
    <row r="13" ht="10" customHeight="1"/>
    <row r="14" ht="23" customHeight="1">
      <c r="A14" s="15" t="inlineStr">
        <is>
          <t>DERIVATION</t>
        </is>
      </c>
      <c r="B14" s="16" t="inlineStr"/>
      <c r="C14" s="16" t="inlineStr"/>
      <c r="D14" s="17" t="inlineStr"/>
    </row>
    <row r="15" ht="23" customHeight="1">
      <c r="A15" s="4" t="inlineStr">
        <is>
          <t>Step</t>
        </is>
      </c>
      <c r="B15" s="5" t="inlineStr">
        <is>
          <t>Value</t>
        </is>
      </c>
      <c r="C15" s="5" t="inlineStr">
        <is>
          <t>Unit</t>
        </is>
      </c>
      <c r="D15" s="18" t="inlineStr">
        <is>
          <t>Formula</t>
        </is>
      </c>
    </row>
    <row r="16" ht="23" customHeight="1">
      <c r="A16" s="6" t="inlineStr">
        <is>
          <t>Sessions per month</t>
        </is>
      </c>
      <c r="B16" s="19">
        <f>B12/12</f>
        <v>833333.3333333334</v>
      </c>
      <c r="C16" s="9" t="inlineStr">
        <is>
          <t>sessions</t>
        </is>
      </c>
      <c r="D16" s="10" t="inlineStr">
        <is>
          <t>sessions_year / 12</t>
        </is>
      </c>
    </row>
    <row r="17" ht="23" customHeight="1">
      <c r="A17" s="6" t="inlineStr">
        <is>
          <t>Sessions per day</t>
        </is>
      </c>
      <c r="B17" s="19">
        <f>B16/B9</f>
        <v>37878.78787878788</v>
      </c>
      <c r="C17" s="9" t="inlineStr">
        <is>
          <t>sessions</t>
        </is>
      </c>
      <c r="D17" s="10" t="inlineStr">
        <is>
          <t>sessions_month / working_days</t>
        </is>
      </c>
    </row>
    <row r="18" ht="23" customHeight="1">
      <c r="A18" s="6" t="inlineStr">
        <is>
          <t>Sessions per peak hour</t>
        </is>
      </c>
      <c r="B18" s="19">
        <f>(B17*B10/100)/B11</f>
        <v>7575.757575757576</v>
      </c>
      <c r="C18" s="9" t="inlineStr">
        <is>
          <t>sessions</t>
        </is>
      </c>
      <c r="D18" s="10" t="inlineStr">
        <is>
          <t>(sessions_day x peak%) / peak_hours</t>
        </is>
      </c>
    </row>
    <row r="19" ht="23" customHeight="1">
      <c r="A19" s="6" t="inlineStr">
        <is>
          <t>Concurrent sessions</t>
        </is>
      </c>
      <c r="B19" s="19">
        <f>B18*(B7/3600)</f>
        <v>631.3131313131313</v>
      </c>
      <c r="C19" s="9" t="inlineStr">
        <is>
          <t>sessions</t>
        </is>
      </c>
      <c r="D19" s="10" t="inlineStr">
        <is>
          <t>sessions_hour x (session_duration / 3600)</t>
        </is>
      </c>
    </row>
    <row r="20" ht="23" customHeight="1">
      <c r="A20" s="11" t="inlineStr">
        <is>
          <t>Messages in concurrent window</t>
        </is>
      </c>
      <c r="B20" s="19">
        <f>(B19*B7)/(B6+B8)</f>
        <v>27056.277056277057</v>
      </c>
      <c r="C20" s="9" t="inlineStr">
        <is>
          <t>messages</t>
        </is>
      </c>
      <c r="D20" s="10" t="inlineStr">
        <is>
          <t>(concurrent x duration) / (think + response)</t>
        </is>
      </c>
    </row>
    <row r="21" ht="23" customHeight="1">
      <c r="A21" s="20" t="inlineStr">
        <is>
          <t>Required Throughput (msg/sec)</t>
        </is>
      </c>
      <c r="B21" s="21">
        <f>B20/B7</f>
        <v>90.18759018759019</v>
      </c>
      <c r="C21" s="9" t="inlineStr">
        <is>
          <t>msg/sec</t>
        </is>
      </c>
      <c r="D21" s="11" t="inlineStr">
        <is>
          <t>← OUTPUT: feeds into Sizing &amp; Cost sheet</t>
        </is>
      </c>
    </row>
    <row r="22" ht="10" customHeight="1"/>
    <row r="23" ht="23" customHeight="1">
      <c r="A23" s="2" t="inlineStr">
        <is>
          <t>QUICK REFERENCE</t>
        </is>
      </c>
      <c r="B23" s="3" t="inlineStr"/>
      <c r="C23" s="3" t="inlineStr"/>
      <c r="D23" s="22" t="inlineStr"/>
    </row>
    <row r="24" ht="23" customHeight="1">
      <c r="A24" s="6" t="inlineStr">
        <is>
          <t>Simplified formula:</t>
        </is>
      </c>
      <c r="B24" s="10" t="inlineStr">
        <is>
          <t>sessions_year × peak% / (12 × working_days × peak_hours × 3600 / session_duration × (think + response))</t>
        </is>
      </c>
      <c r="C24" s="23" t="n"/>
      <c r="D24" s="24" t="n"/>
    </row>
    <row r="25" ht="23" customHeight="1">
      <c r="A25" s="6" t="inlineStr">
        <is>
          <t>Channel think times:</t>
        </is>
      </c>
      <c r="B25" s="10" t="inlineStr">
        <is>
          <t>Socket (RTM, Liveperson) = 4s | Webhook (WhatsApp, Slack, Teams) = 5s | Voice (IVR) = 6s</t>
        </is>
      </c>
      <c r="C25" s="23" t="n"/>
      <c r="D25" s="24" t="n"/>
    </row>
  </sheetData>
  <sheetProtection selectLockedCells="1" selectUnlockedCells="1" sheet="1" objects="1" insertRows="0" insertHyperlinks="1" autoFilter="0" scenarios="1" formatColumns="0" deleteColumns="1" insertColumns="1" pivotTables="0" deleteRows="0" formatCells="0" formatRows="0" sort="0" password="CC62"/>
  <autoFilter ref="A1:D25"/>
  <mergeCells count="3">
    <mergeCell ref="A1:D1"/>
    <mergeCell ref="B25:D25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R1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21"/>
  <cols>
    <col width="46" customWidth="1" min="1" max="1"/>
    <col width="21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5" customWidth="1" min="8" max="8"/>
    <col width="14" customWidth="1" min="9" max="9"/>
    <col width="26" customWidth="1" min="10" max="10"/>
    <col width="13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hidden="1" width="9" customWidth="1" min="17" max="17"/>
    <col hidden="1" width="9" customWidth="1" min="18" max="18"/>
  </cols>
  <sheetData>
    <row r="1" ht="30" customHeight="1">
      <c r="A1" s="1" t="inlineStr">
        <is>
          <t>Infrastructure Sizing &amp; Cost Calculator</t>
        </is>
      </c>
    </row>
    <row r="2" ht="21" customHeight="1">
      <c r="A2" s="25" t="inlineStr">
        <is>
          <t>Edit yellow cells only; calculated and catalog cells are protected</t>
        </is>
      </c>
    </row>
    <row r="3" ht="24" customHeight="1">
      <c r="A3" s="4" t="inlineStr">
        <is>
          <t>GLOBAL INPUTS</t>
        </is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7" t="n"/>
    </row>
    <row r="4" ht="24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>
        <is>
          <t>Notes</t>
        </is>
      </c>
    </row>
    <row r="5" ht="23" customHeight="1">
      <c r="A5" s="6" t="inlineStr">
        <is>
          <t>Cloud provider</t>
        </is>
      </c>
      <c r="B5" s="28" t="inlineStr">
        <is>
          <t>Azure</t>
        </is>
      </c>
      <c r="C5" s="9" t="inlineStr">
        <is>
          <t>CSP</t>
        </is>
      </c>
      <c r="J5" s="10" t="inlineStr">
        <is>
          <t>Switches VM/SKU labels and provider pricing</t>
        </is>
      </c>
      <c r="K5" s="23" t="n"/>
      <c r="L5" s="23" t="n"/>
      <c r="M5" s="23" t="n"/>
      <c r="N5" s="23" t="n"/>
      <c r="O5" s="23" t="n"/>
      <c r="P5" s="23" t="n"/>
      <c r="Q5" s="23" t="n"/>
      <c r="R5" s="24" t="n"/>
    </row>
    <row r="6" ht="23" customHeight="1">
      <c r="A6" s="6" t="inlineStr">
        <is>
          <t>Is this Prod env</t>
        </is>
      </c>
      <c r="B6" s="8" t="inlineStr">
        <is>
          <t>Yes</t>
        </is>
      </c>
      <c r="C6" s="9" t="inlineStr">
        <is>
          <t>Yes/No</t>
        </is>
      </c>
      <c r="J6" s="10" t="inlineStr">
        <is>
          <t>No = 1 replica all services, no zone-spread (dev/test); Yes = HA, zone-aware (prod/staging)</t>
        </is>
      </c>
      <c r="K6" s="23" t="n"/>
      <c r="L6" s="23" t="n"/>
      <c r="M6" s="23" t="n"/>
      <c r="N6" s="23" t="n"/>
      <c r="O6" s="23" t="n"/>
      <c r="P6" s="23" t="n"/>
      <c r="Q6" s="23" t="n"/>
      <c r="R6" s="24" t="n"/>
    </row>
    <row r="7" ht="23" customHeight="1">
      <c r="A7" s="6" t="inlineStr">
        <is>
          <t>Availability Zones</t>
        </is>
      </c>
      <c r="B7" s="8">
        <f>IF(B6="No","N/A",Q7)</f>
        <v/>
      </c>
      <c r="C7" s="9" t="inlineStr">
        <is>
          <t>zones</t>
        </is>
      </c>
      <c r="J7" s="10" t="inlineStr">
        <is>
          <t>Prod only — min nodes per pool = zones (pod spread across AZs). Shows N/A when non-prod.</t>
        </is>
      </c>
      <c r="K7" s="23" t="n"/>
      <c r="L7" s="23" t="n"/>
      <c r="M7" s="23" t="n"/>
      <c r="N7" s="23" t="n"/>
      <c r="O7" s="23" t="n"/>
      <c r="P7" s="24" t="n"/>
      <c r="Q7" s="13" t="n">
        <v>2</v>
      </c>
    </row>
    <row r="8" ht="23" customHeight="1">
      <c r="A8" s="6" t="inlineStr">
        <is>
          <t>Runtime target msg/s</t>
        </is>
      </c>
      <c r="B8" s="13">
        <f>IF(R8&gt;0,R8,'Throughput Calculator'!B21)</f>
        <v/>
      </c>
      <c r="C8" s="9" t="inlineStr">
        <is>
          <t>msg/s</t>
        </is>
      </c>
      <c r="J8" s="10" t="inlineStr">
        <is>
          <t>Auto from Throughput Calculator; override in R column (set to 0 for auto)</t>
        </is>
      </c>
      <c r="K8" s="23" t="n"/>
      <c r="L8" s="23" t="n"/>
      <c r="M8" s="23" t="n"/>
      <c r="N8" s="23" t="n"/>
      <c r="O8" s="23" t="n"/>
      <c r="P8" s="23" t="n"/>
      <c r="Q8" s="24" t="n"/>
      <c r="R8" s="13" t="n">
        <v>120</v>
      </c>
    </row>
    <row r="9" hidden="1" ht="23" customHeight="1">
      <c r="A9" s="11" t="inlineStr">
        <is>
          <t>Runtime target active sessions</t>
        </is>
      </c>
      <c r="B9" s="13" t="n">
        <v>0</v>
      </c>
      <c r="C9" s="9" t="inlineStr">
        <is>
          <t>sessions</t>
        </is>
      </c>
      <c r="J9" s="10" t="inlineStr">
        <is>
          <t>Runtime replicas use max(msg/s pods, active-session pods)</t>
        </is>
      </c>
      <c r="K9" s="23" t="n"/>
      <c r="L9" s="23" t="n"/>
      <c r="M9" s="23" t="n"/>
      <c r="N9" s="23" t="n"/>
      <c r="O9" s="23" t="n"/>
      <c r="P9" s="23" t="n"/>
      <c r="Q9" s="23" t="n"/>
      <c r="R9" s="24" t="n"/>
    </row>
    <row r="10" hidden="1" ht="23" customHeight="1">
      <c r="A10" s="11" t="inlineStr">
        <is>
          <t>Runtime safe active sessions/pod</t>
        </is>
      </c>
      <c r="B10" s="12" t="n">
        <v>0</v>
      </c>
      <c r="C10" s="9" t="inlineStr">
        <is>
          <t>sessions/pod</t>
        </is>
      </c>
      <c r="J10" s="10" t="inlineStr">
        <is>
          <t>Safe concurrent active-session capacity per runtime pod</t>
        </is>
      </c>
      <c r="K10" s="23" t="n"/>
      <c r="L10" s="23" t="n"/>
      <c r="M10" s="23" t="n"/>
      <c r="N10" s="23" t="n"/>
      <c r="O10" s="23" t="n"/>
      <c r="P10" s="23" t="n"/>
      <c r="Q10" s="23" t="n"/>
      <c r="R10" s="24" t="n"/>
    </row>
    <row r="11" ht="23" customHeight="1">
      <c r="A11" s="6" t="inlineStr">
        <is>
          <t>Studio/runtime pod ratio</t>
        </is>
      </c>
      <c r="B11" s="29" t="n">
        <v>0.25</v>
      </c>
      <c r="C11" s="9" t="inlineStr">
        <is>
          <t>ratio</t>
        </is>
      </c>
      <c r="J11" s="10" t="inlineStr">
        <is>
          <t>Studio pods are at least this share of runtime pods</t>
        </is>
      </c>
      <c r="K11" s="23" t="n"/>
      <c r="L11" s="23" t="n"/>
      <c r="M11" s="23" t="n"/>
      <c r="N11" s="23" t="n"/>
      <c r="O11" s="23" t="n"/>
      <c r="P11" s="23" t="n"/>
      <c r="Q11" s="23" t="n"/>
      <c r="R11" s="24" t="n"/>
    </row>
    <row r="12" ht="23" customHeight="1">
      <c r="A12" s="6" t="inlineStr">
        <is>
          <t>Search target queries/s</t>
        </is>
      </c>
      <c r="B12" s="13" t="n">
        <v>20</v>
      </c>
      <c r="C12" s="9" t="inlineStr">
        <is>
          <t>qps</t>
        </is>
      </c>
      <c r="J12" s="10" t="inlineStr">
        <is>
          <t>Total query load (keyword + hybrid + semantic + aggregation)</t>
        </is>
      </c>
      <c r="K12" s="23" t="n"/>
      <c r="L12" s="23" t="n"/>
      <c r="M12" s="23" t="n"/>
      <c r="N12" s="23" t="n"/>
      <c r="O12" s="23" t="n"/>
      <c r="P12" s="23" t="n"/>
      <c r="Q12" s="23" t="n"/>
      <c r="R12" s="24" t="n"/>
    </row>
    <row r="13" ht="23" customHeight="1">
      <c r="A13" s="6" t="inlineStr">
        <is>
          <t>Embedding query ratio</t>
        </is>
      </c>
      <c r="B13" s="29" t="n">
        <v>0.4</v>
      </c>
      <c r="C13" s="9" t="inlineStr">
        <is>
          <t>ratio</t>
        </is>
      </c>
      <c r="J13" s="10" t="inlineStr">
        <is>
          <t>Fraction needing BGE-M3 (hybrid+semantic); 60% bypass at keyword/agg</t>
        </is>
      </c>
      <c r="K13" s="23" t="n"/>
      <c r="L13" s="23" t="n"/>
      <c r="M13" s="23" t="n"/>
      <c r="N13" s="23" t="n"/>
      <c r="O13" s="23" t="n"/>
      <c r="P13" s="23" t="n"/>
      <c r="Q13" s="23" t="n"/>
      <c r="R13" s="24" t="n"/>
    </row>
    <row r="14" ht="23" customHeight="1">
      <c r="A14" s="6" t="inlineStr">
        <is>
          <t>Ingestion target files/min</t>
        </is>
      </c>
      <c r="B14" s="12" t="n">
        <v>5</v>
      </c>
      <c r="C14" s="9" t="inlineStr">
        <is>
          <t>files/min</t>
        </is>
      </c>
      <c r="J14" s="10" t="inlineStr">
        <is>
          <t>File upload pipeline throughput target (SearchAI + Docling + BGE-M3)</t>
        </is>
      </c>
      <c r="K14" s="23" t="n"/>
      <c r="L14" s="23" t="n"/>
      <c r="M14" s="23" t="n"/>
      <c r="N14" s="23" t="n"/>
      <c r="O14" s="23" t="n"/>
      <c r="P14" s="23" t="n"/>
      <c r="Q14" s="23" t="n"/>
      <c r="R14" s="24" t="n"/>
    </row>
    <row r="15" ht="23" customHeight="1">
      <c r="A15" s="6" t="inlineStr">
        <is>
          <t>Search (Knowledge) enabled</t>
        </is>
      </c>
      <c r="B15" s="8" t="inlineStr">
        <is>
          <t>Yes</t>
        </is>
      </c>
      <c r="C15" s="9" t="inlineStr">
        <is>
          <t>Yes/No</t>
        </is>
      </c>
      <c r="J15" s="10" t="inlineStr">
        <is>
          <t>No = no file ingestion (Docling=0, ingestion pods=0); Yes = full search pipeline</t>
        </is>
      </c>
      <c r="K15" s="23" t="n"/>
      <c r="L15" s="23" t="n"/>
      <c r="M15" s="23" t="n"/>
      <c r="N15" s="23" t="n"/>
      <c r="O15" s="23" t="n"/>
      <c r="P15" s="23" t="n"/>
      <c r="Q15" s="23" t="n"/>
      <c r="R15" s="24" t="n"/>
    </row>
    <row r="16" ht="23" customHeight="1">
      <c r="A16" s="6" t="inlineStr">
        <is>
          <t>BGE-M3 enabled</t>
        </is>
      </c>
      <c r="B16" s="8">
        <f>IF(B15="Yes","Yes","No")</f>
        <v/>
      </c>
      <c r="C16" s="9" t="inlineStr">
        <is>
          <t>Yes/No</t>
        </is>
      </c>
      <c r="J16" s="10" t="inlineStr">
        <is>
          <t>Auto No if Knowledge disabled; set to No if keyword/aggregation only (no embedding needed)</t>
        </is>
      </c>
      <c r="K16" s="23" t="n"/>
      <c r="L16" s="23" t="n"/>
      <c r="M16" s="23" t="n"/>
      <c r="N16" s="23" t="n"/>
      <c r="O16" s="23" t="n"/>
      <c r="P16" s="23" t="n"/>
      <c r="Q16" s="23" t="n"/>
      <c r="R16" s="24" t="n"/>
    </row>
    <row r="17" ht="23" customHeight="1">
      <c r="A17" s="6" t="inlineStr">
        <is>
          <t>BGE-M3 mode</t>
        </is>
      </c>
      <c r="B17" s="8">
        <f>IF(AND(B15="Yes",B16="Yes"),"GPU","N/A")</f>
        <v/>
      </c>
      <c r="C17" s="9" t="inlineStr">
        <is>
          <t>GPU/CPU/N/A</t>
        </is>
      </c>
      <c r="J17" s="10" t="inlineStr">
        <is>
          <t>GPU = T4 (15 rps/pod); CPU = user pool (4.4 rps/pod); N/A if Knowledge or BGE-M3 disabled</t>
        </is>
      </c>
      <c r="K17" s="23" t="n"/>
      <c r="L17" s="23" t="n"/>
      <c r="M17" s="23" t="n"/>
      <c r="N17" s="23" t="n"/>
      <c r="O17" s="23" t="n"/>
      <c r="P17" s="23" t="n"/>
      <c r="Q17" s="23" t="n"/>
      <c r="R17" s="24" t="n"/>
    </row>
    <row r="18" ht="23" customHeight="1">
      <c r="A18" s="6" t="inlineStr">
        <is>
          <t>Docling mode</t>
        </is>
      </c>
      <c r="B18" s="8">
        <f>IF(B15="Yes","GPU","N/A")</f>
        <v/>
      </c>
      <c r="C18" s="9" t="inlineStr">
        <is>
          <t>GPU/CPU/N/A</t>
        </is>
      </c>
      <c r="J18" s="10" t="inlineStr">
        <is>
          <t>GPU = T4 (43 files/min); CPU = user pool; N/A if Knowledge disabled</t>
        </is>
      </c>
      <c r="K18" s="23" t="n"/>
      <c r="L18" s="23" t="n"/>
      <c r="M18" s="23" t="n"/>
      <c r="N18" s="23" t="n"/>
      <c r="O18" s="23" t="n"/>
      <c r="P18" s="23" t="n"/>
      <c r="Q18" s="23" t="n"/>
      <c r="R18" s="24" t="n"/>
    </row>
    <row r="19" ht="23" customHeight="1">
      <c r="A19" s="6" t="inlineStr">
        <is>
          <t>Workflow target exec/s</t>
        </is>
      </c>
      <c r="B19" s="13" t="n">
        <v>10</v>
      </c>
      <c r="C19" s="9" t="inlineStr">
        <is>
          <t>exec/s</t>
        </is>
      </c>
      <c r="J19" s="10" t="inlineStr">
        <is>
          <t>Reference only; edit workflow replicas below</t>
        </is>
      </c>
      <c r="K19" s="23" t="n"/>
      <c r="L19" s="23" t="n"/>
      <c r="M19" s="23" t="n"/>
      <c r="N19" s="23" t="n"/>
      <c r="O19" s="23" t="n"/>
      <c r="P19" s="23" t="n"/>
      <c r="Q19" s="23" t="n"/>
      <c r="R19" s="24" t="n"/>
    </row>
    <row r="20" ht="23" customHeight="1">
      <c r="A20" s="6" t="inlineStr">
        <is>
          <t>Pipeline target exec/s</t>
        </is>
      </c>
      <c r="B20" s="13" t="n">
        <v>10</v>
      </c>
      <c r="C20" s="9" t="inlineStr">
        <is>
          <t>exec/s</t>
        </is>
      </c>
      <c r="J20" s="10" t="inlineStr">
        <is>
          <t>Reference only; edit pipeline replicas below</t>
        </is>
      </c>
      <c r="K20" s="23" t="n"/>
      <c r="L20" s="23" t="n"/>
      <c r="M20" s="23" t="n"/>
      <c r="N20" s="23" t="n"/>
      <c r="O20" s="23" t="n"/>
      <c r="P20" s="23" t="n"/>
      <c r="Q20" s="23" t="n"/>
      <c r="R20" s="24" t="n"/>
    </row>
    <row r="21" ht="22" customHeight="1">
      <c r="A21" s="6" t="inlineStr">
        <is>
          <t>Utilization headroom</t>
        </is>
      </c>
      <c r="B21" s="29" t="n">
        <v>0.7</v>
      </c>
      <c r="J21" s="30" t="inlineStr">
        <is>
          <t>0.70 = 30% buffer</t>
        </is>
      </c>
    </row>
    <row r="22" ht="23" customHeight="1">
      <c r="A22" s="6" t="inlineStr">
        <is>
          <t>Pods per node</t>
        </is>
      </c>
      <c r="B22" s="13">
        <f>IF(B6="No",4,3)</f>
        <v/>
      </c>
      <c r="J22" s="10" t="inlineStr">
        <is>
          <t>Non-prod default: 4; Prod default: 3</t>
        </is>
      </c>
      <c r="K22" s="23" t="n"/>
      <c r="L22" s="23" t="n"/>
      <c r="M22" s="23" t="n"/>
      <c r="N22" s="23" t="n"/>
      <c r="O22" s="23" t="n"/>
      <c r="P22" s="23" t="n"/>
      <c r="Q22" s="23" t="n"/>
      <c r="R22" s="24" t="n"/>
    </row>
    <row r="23" ht="23" customHeight="1">
      <c r="A23" s="6" t="inlineStr">
        <is>
          <t>User node VM</t>
        </is>
      </c>
      <c r="B23" s="8">
        <f>IF($B$5="AWS","m7i.2xlarge",IF($B$5="GCP","n2-standard-8","Standard_D8s_v5"))</f>
        <v/>
      </c>
      <c r="J23" s="10" t="inlineStr">
        <is>
          <t>Select VM size for user/app workload pool</t>
        </is>
      </c>
      <c r="K23" s="23" t="n"/>
      <c r="L23" s="23" t="n"/>
      <c r="M23" s="23" t="n"/>
      <c r="N23" s="23" t="n"/>
      <c r="O23" s="23" t="n"/>
      <c r="P23" s="23" t="n"/>
      <c r="Q23" s="23" t="n"/>
      <c r="R23" s="24" t="n"/>
    </row>
    <row r="24" ht="21" customHeight="1">
      <c r="A24" s="31" t="inlineStr">
        <is>
          <t xml:space="preserve">  vCPU / node</t>
        </is>
      </c>
      <c r="B24" s="32">
        <f>IF(B23="Standard_D8s_v5",8,IF(B23="Standard_D16s_v5",16,IF(B23="Standard_D32s_v5",32,IF(B23="m7i.2xlarge",8,IF(B23="m7i.4xlarge",16,IF(B23="m7i.12xlarge",48,IF(B23="n2-standard-8",8,IF(B23="n2-standard-16",16,32))))))))</f>
        <v/>
      </c>
      <c r="C24" s="9" t="inlineStr">
        <is>
          <t>vCPU</t>
        </is>
      </c>
    </row>
    <row r="25" ht="21" customHeight="1">
      <c r="A25" s="31" t="inlineStr">
        <is>
          <t xml:space="preserve">  Memory / node</t>
        </is>
      </c>
      <c r="B25" s="32">
        <f>IF(B23="Standard_D8s_v5",32,IF(B23="Standard_D16s_v5",64,IF(B23="Standard_D32s_v5",128,IF(B23="m7i.2xlarge",32,IF(B23="m7i.4xlarge",64,IF(B23="m7i.12xlarge",192,IF(B23="n2-standard-8",32,IF(B23="n2-standard-16",64,128))))))))</f>
        <v/>
      </c>
      <c r="C25" s="9" t="inlineStr">
        <is>
          <t>GiB</t>
        </is>
      </c>
    </row>
    <row r="26" ht="23" customHeight="1">
      <c r="A26" s="31" t="inlineStr">
        <is>
          <t xml:space="preserve">  $/month</t>
        </is>
      </c>
      <c r="B26" s="33">
        <f>IF(B23="Standard_D8s_v5",317,IF(B23="Standard_D16s_v5",634,IF(B23="Standard_D32s_v5",1267,IF(B23="m7i.2xlarge",294,IF(B23="m7i.4xlarge",589,IF(B23="m7i.12xlarge",1766,IF(B23="n2-standard-8",284,IF(B23="n2-standard-16",567,1135))))))))</f>
        <v/>
      </c>
      <c r="J26" s="10" t="inlineStr">
        <is>
          <t>Provider on-demand compute × 730h</t>
        </is>
      </c>
      <c r="K26" s="23" t="n"/>
      <c r="L26" s="23" t="n"/>
      <c r="M26" s="23" t="n"/>
      <c r="N26" s="23" t="n"/>
      <c r="O26" s="23" t="n"/>
      <c r="P26" s="23" t="n"/>
      <c r="Q26" s="23" t="n"/>
      <c r="R26" s="24" t="n"/>
    </row>
    <row r="27" ht="23" customHeight="1">
      <c r="A27" s="6" t="inlineStr">
        <is>
          <t>Database (mongo) node VM</t>
        </is>
      </c>
      <c r="B27" s="8">
        <f>IF($B$5="AWS","r7i.4xlarge",IF($B$5="GCP","n2-highmem-16","Standard_E16s_v5"))</f>
        <v/>
      </c>
      <c r="J27" s="10" t="inlineStr">
        <is>
          <t>Dedicated MongoDB pool — r7i.4xlarge equivalent (16 CPU / 128 GiB); 1 node per replica</t>
        </is>
      </c>
      <c r="K27" s="23" t="n"/>
      <c r="L27" s="23" t="n"/>
      <c r="M27" s="23" t="n"/>
      <c r="N27" s="23" t="n"/>
      <c r="O27" s="23" t="n"/>
      <c r="P27" s="23" t="n"/>
      <c r="Q27" s="23" t="n"/>
      <c r="R27" s="24" t="n"/>
    </row>
    <row r="28" ht="21" customHeight="1">
      <c r="A28" s="31" t="inlineStr">
        <is>
          <t xml:space="preserve">  vCPU / node</t>
        </is>
      </c>
      <c r="B28" s="32">
        <f>IF(B27="Standard_E16s_v5",16,IF(B27="Standard_E32s_v5",32,IF(B27="r7i.4xlarge",16,IF(B27="r7i.8xlarge",32,IF(B27="n2-highmem-16",16,32)))))</f>
        <v/>
      </c>
      <c r="C28" s="9" t="inlineStr">
        <is>
          <t>vCPU</t>
        </is>
      </c>
    </row>
    <row r="29" ht="21" customHeight="1">
      <c r="A29" s="31" t="inlineStr">
        <is>
          <t xml:space="preserve">  Memory / node</t>
        </is>
      </c>
      <c r="B29" s="32">
        <f>IF(B27="Standard_E16s_v5",128,IF(B27="Standard_E32s_v5",256,IF(B27="r7i.4xlarge",128,IF(B27="r7i.8xlarge",256,IF(B27="n2-highmem-16",128,256)))))</f>
        <v/>
      </c>
      <c r="C29" s="9" t="inlineStr">
        <is>
          <t>GiB</t>
        </is>
      </c>
    </row>
    <row r="30" ht="23" customHeight="1">
      <c r="A30" s="31" t="inlineStr">
        <is>
          <t xml:space="preserve">  $/month</t>
        </is>
      </c>
      <c r="B30" s="33">
        <f>IF(B27="Standard_E16s_v5",826,IF(B27="Standard_E32s_v5",1663,IF(B27="r7i.4xlarge",773,IF(B27="r7i.8xlarge",1545,IF(B27="n2-highmem-16",762,1524)))))</f>
        <v/>
      </c>
      <c r="J30" s="10" t="inlineStr">
        <is>
          <t>Dedicated MongoDB nodes (1 replica per node with headroom)</t>
        </is>
      </c>
      <c r="K30" s="23" t="n"/>
      <c r="L30" s="23" t="n"/>
      <c r="M30" s="23" t="n"/>
      <c r="N30" s="23" t="n"/>
      <c r="O30" s="23" t="n"/>
      <c r="P30" s="23" t="n"/>
      <c r="Q30" s="23" t="n"/>
      <c r="R30" s="24" t="n"/>
    </row>
    <row r="31" ht="23" customHeight="1">
      <c r="A31" s="6" t="inlineStr">
        <is>
          <t>Database (non-mongo) node VM</t>
        </is>
      </c>
      <c r="B31" s="8">
        <f>IF($B$5="AWS","r7i.2xlarge",IF($B$5="GCP","n2-highmem-8","Standard_E8s_v5"))</f>
        <v/>
      </c>
      <c r="J31" s="10" t="inlineStr">
        <is>
          <t>Select VM size for Redis/OpenSearch/Neo4j/RocksDB pool</t>
        </is>
      </c>
      <c r="K31" s="23" t="n"/>
      <c r="L31" s="23" t="n"/>
      <c r="M31" s="23" t="n"/>
      <c r="N31" s="23" t="n"/>
      <c r="O31" s="23" t="n"/>
      <c r="P31" s="23" t="n"/>
      <c r="Q31" s="23" t="n"/>
      <c r="R31" s="24" t="n"/>
    </row>
    <row r="32" ht="21" customHeight="1">
      <c r="A32" s="31" t="inlineStr">
        <is>
          <t xml:space="preserve">  vCPU / node</t>
        </is>
      </c>
      <c r="B32" s="32">
        <f>IF(B31="Standard_E8s_v5",8,IF(B31="Standard_E16s_v5",16,IF(B31="Standard_D48s_v5",48,IF(B31="r7i.2xlarge",8,IF(B31="r7i.4xlarge",16,IF(B31="r7i.12xlarge",48,IF(B31="n2-highmem-8",8,IF(B31="n2-highmem-16",16,48))))))))</f>
        <v/>
      </c>
      <c r="C32" s="9" t="inlineStr">
        <is>
          <t>vCPU</t>
        </is>
      </c>
    </row>
    <row r="33" ht="21" customHeight="1">
      <c r="A33" s="31" t="inlineStr">
        <is>
          <t xml:space="preserve">  Memory / node</t>
        </is>
      </c>
      <c r="B33" s="32">
        <f>IF(B31="Standard_E8s_v5",64,IF(B31="Standard_E16s_v5",128,IF(B31="Standard_D48s_v5",192,IF(B31="r7i.2xlarge",64,IF(B31="r7i.4xlarge",128,IF(B31="r7i.12xlarge",384,IF(B31="n2-highmem-8",64,IF(B31="n2-highmem-16",128,384))))))))</f>
        <v/>
      </c>
      <c r="C33" s="9" t="inlineStr">
        <is>
          <t>GiB</t>
        </is>
      </c>
    </row>
    <row r="34" ht="23" customHeight="1">
      <c r="A34" s="31" t="inlineStr">
        <is>
          <t xml:space="preserve">  $/month</t>
        </is>
      </c>
      <c r="B34" s="33">
        <f>IF(B31="Standard_E8s_v5",413,IF(B31="Standard_E16s_v5",826,IF(B31="Standard_D48s_v5",1901,IF(B31="r7i.2xlarge",386,IF(B31="r7i.4xlarge",773,IF(B31="r7i.12xlarge",2318,IF(B31="n2-highmem-8",381,IF(B31="n2-highmem-16",762,2286))))))))</f>
        <v/>
      </c>
      <c r="J34" s="10" t="inlineStr">
        <is>
          <t>Non-mongo DB pool (Redis, OpenSearch, Neo4j, RocksDB)</t>
        </is>
      </c>
      <c r="K34" s="23" t="n"/>
      <c r="L34" s="23" t="n"/>
      <c r="M34" s="23" t="n"/>
      <c r="N34" s="23" t="n"/>
      <c r="O34" s="23" t="n"/>
      <c r="P34" s="23" t="n"/>
      <c r="Q34" s="23" t="n"/>
      <c r="R34" s="24" t="n"/>
    </row>
    <row r="35" ht="21" customHeight="1">
      <c r="A35" s="6" t="inlineStr">
        <is>
          <t>GPU node VM</t>
        </is>
      </c>
      <c r="B35" s="34">
        <f>IF($B$5="AWS","g4dn.xlarge",IF($B$5="GCP","n1-standard-4+T4","Standard_NC4as_T4_v3"))</f>
        <v/>
      </c>
      <c r="J35" s="30" t="inlineStr">
        <is>
          <t>T4 GPU worker node (fixed)</t>
        </is>
      </c>
    </row>
    <row r="36" ht="21" customHeight="1">
      <c r="A36" s="31" t="inlineStr">
        <is>
          <t xml:space="preserve">  $/month</t>
        </is>
      </c>
      <c r="B36" s="33">
        <f>IF($B$5="AWS",384,IF($B$5="GCP",394,434))</f>
        <v/>
      </c>
      <c r="J36" s="30" t="inlineStr">
        <is>
          <t>Provider GPU compute × 730h</t>
        </is>
      </c>
    </row>
    <row r="37" ht="23" customHeight="1">
      <c r="A37" s="6" t="inlineStr">
        <is>
          <t>System node VM</t>
        </is>
      </c>
      <c r="B37" s="8">
        <f>IF($B$5="AWS","m7i.2xlarge",IF($B$5="GCP","n2-standard-8","Standard_D8s_v5"))</f>
        <v/>
      </c>
      <c r="J37" s="10" t="inlineStr">
        <is>
          <t>Select VM size for system workloads (ClickHouse, Kafka)</t>
        </is>
      </c>
      <c r="K37" s="23" t="n"/>
      <c r="L37" s="23" t="n"/>
      <c r="M37" s="23" t="n"/>
      <c r="N37" s="23" t="n"/>
      <c r="O37" s="23" t="n"/>
      <c r="P37" s="23" t="n"/>
      <c r="Q37" s="23" t="n"/>
      <c r="R37" s="24" t="n"/>
    </row>
    <row r="38" ht="21" customHeight="1">
      <c r="A38" s="31" t="inlineStr">
        <is>
          <t xml:space="preserve">  vCPU / node</t>
        </is>
      </c>
      <c r="B38" s="32">
        <f>IF(B37="Standard_D8s_v5",8,IF(B37="Standard_D16s_v5",16,IF(B37="m7i.2xlarge",8,IF(B37="m7i.4xlarge",16,IF(B37="n2-standard-8",8,16)))))</f>
        <v/>
      </c>
      <c r="C38" s="9" t="inlineStr">
        <is>
          <t>vCPU</t>
        </is>
      </c>
    </row>
    <row r="39" ht="21" customHeight="1">
      <c r="A39" s="31" t="inlineStr">
        <is>
          <t xml:space="preserve">  Memory / node</t>
        </is>
      </c>
      <c r="B39" s="32">
        <f>IF(B37="Standard_D8s_v5",32,IF(B37="Standard_D16s_v5",64,IF(B37="m7i.2xlarge",32,IF(B37="m7i.4xlarge",64,IF(B37="n2-standard-8",32,64)))))</f>
        <v/>
      </c>
      <c r="C39" s="9" t="inlineStr">
        <is>
          <t>GiB</t>
        </is>
      </c>
    </row>
    <row r="40" ht="23" customHeight="1">
      <c r="A40" s="31" t="inlineStr">
        <is>
          <t xml:space="preserve">  $/month</t>
        </is>
      </c>
      <c r="B40" s="33">
        <f>IF(B37="Standard_D8s_v5",317,IF(B37="Standard_D16s_v5",634,IF(B37="m7i.2xlarge",294,IF(B37="m7i.4xlarge",589,IF(B37="n2-standard-8",284,567)))))</f>
        <v/>
      </c>
      <c r="J40" s="10" t="inlineStr">
        <is>
          <t>Provider system compute × 730h</t>
        </is>
      </c>
      <c r="K40" s="23" t="n"/>
      <c r="L40" s="23" t="n"/>
      <c r="M40" s="23" t="n"/>
      <c r="N40" s="23" t="n"/>
      <c r="O40" s="23" t="n"/>
      <c r="P40" s="23" t="n"/>
      <c r="Q40" s="23" t="n"/>
      <c r="R40" s="24" t="n"/>
    </row>
    <row r="41" ht="23" customHeight="1">
      <c r="A41" s="6" t="inlineStr">
        <is>
          <t>Operator node VM</t>
        </is>
      </c>
      <c r="B41" s="8">
        <f>IF($B$5="AWS","m7i.xlarge",IF($B$5="GCP","n2-standard-4","Standard_D4s_v5"))</f>
        <v/>
      </c>
      <c r="J41" s="10" t="inlineStr">
        <is>
          <t>Small VMs for operator/controller workloads</t>
        </is>
      </c>
      <c r="K41" s="23" t="n"/>
      <c r="L41" s="23" t="n"/>
      <c r="M41" s="23" t="n"/>
      <c r="N41" s="23" t="n"/>
      <c r="O41" s="23" t="n"/>
      <c r="P41" s="23" t="n"/>
      <c r="Q41" s="23" t="n"/>
      <c r="R41" s="24" t="n"/>
    </row>
    <row r="42" ht="21" customHeight="1">
      <c r="A42" s="31" t="inlineStr">
        <is>
          <t xml:space="preserve">  vCPU / node</t>
        </is>
      </c>
      <c r="B42" s="32">
        <f>IF(B41="Standard_D4s_v5",4,IF(B41="Standard_D8s_v5",8,IF(B41="m7i.xlarge",4,IF(B41="m7i.2xlarge",8,IF(B41="n2-standard-4",4,8)))))</f>
        <v/>
      </c>
      <c r="C42" s="9" t="inlineStr">
        <is>
          <t>vCPU</t>
        </is>
      </c>
    </row>
    <row r="43" ht="21" customHeight="1">
      <c r="A43" s="31" t="inlineStr">
        <is>
          <t xml:space="preserve">  Memory / node</t>
        </is>
      </c>
      <c r="B43" s="32">
        <f>IF(B41="Standard_D4s_v5",16,IF(B41="Standard_D8s_v5",32,IF(B41="m7i.xlarge",16,IF(B41="m7i.2xlarge",32,IF(B41="n2-standard-4",16,32)))))</f>
        <v/>
      </c>
      <c r="C43" s="9" t="inlineStr">
        <is>
          <t>GiB</t>
        </is>
      </c>
    </row>
    <row r="44" ht="23" customHeight="1">
      <c r="A44" s="31" t="inlineStr">
        <is>
          <t xml:space="preserve">  $/month</t>
        </is>
      </c>
      <c r="B44" s="33">
        <f>IF(B41="Standard_D4s_v5",158,IF(B41="Standard_D8s_v5",317,IF(B41="m7i.xlarge",147,IF(B41="m7i.2xlarge",294,IF(B41="n2-standard-4",142,284)))))</f>
        <v/>
      </c>
      <c r="J44" s="10" t="inlineStr">
        <is>
          <t>Operator pool — small, spread across zones</t>
        </is>
      </c>
      <c r="K44" s="23" t="n"/>
      <c r="L44" s="23" t="n"/>
      <c r="M44" s="23" t="n"/>
      <c r="N44" s="23" t="n"/>
      <c r="O44" s="23" t="n"/>
      <c r="P44" s="23" t="n"/>
      <c r="Q44" s="23" t="n"/>
      <c r="R44" s="24" t="n"/>
    </row>
    <row r="45" ht="22" customHeight="1">
      <c r="A45" s="6" t="inlineStr">
        <is>
          <t>Hardware discount</t>
        </is>
      </c>
      <c r="B45" s="29" t="n">
        <v>0</v>
      </c>
      <c r="J45" s="30" t="inlineStr">
        <is>
          <t>Applied to node-pool MSRP</t>
        </is>
      </c>
    </row>
    <row r="46" ht="22" customHeight="1">
      <c r="A46" s="6" t="inlineStr">
        <is>
          <t>Support rate</t>
        </is>
      </c>
      <c r="B46" s="29" t="n">
        <v>0.1</v>
      </c>
      <c r="J46" s="30" t="inlineStr">
        <is>
          <t>Applied to node-pool MSRP</t>
        </is>
      </c>
    </row>
    <row r="47" ht="22" customHeight="1">
      <c r="A47" s="6" t="inlineStr">
        <is>
          <t>Object storage</t>
        </is>
      </c>
      <c r="B47" s="12" t="n">
        <v>20</v>
      </c>
      <c r="C47" s="9" t="inlineStr">
        <is>
          <t>TiB</t>
        </is>
      </c>
    </row>
    <row r="48" ht="23" customHeight="1">
      <c r="A48" s="6" t="inlineStr">
        <is>
          <t>Object storage $/GB-month</t>
        </is>
      </c>
      <c r="B48" s="35">
        <f>IF($B$5="AWS",0.023,IF($B$5="GCP",0.02,0.0184))</f>
        <v/>
      </c>
      <c r="J48" s="10" t="inlineStr">
        <is>
          <t>S3 Standard / Azure Blob Hot LRS / GCS Standard</t>
        </is>
      </c>
      <c r="K48" s="23" t="n"/>
      <c r="L48" s="23" t="n"/>
      <c r="M48" s="23" t="n"/>
      <c r="N48" s="23" t="n"/>
      <c r="O48" s="23" t="n"/>
      <c r="P48" s="23" t="n"/>
      <c r="Q48" s="23" t="n"/>
      <c r="R48" s="24" t="n"/>
    </row>
    <row r="49" ht="23" customHeight="1">
      <c r="A49" s="6" t="inlineStr">
        <is>
          <t>Block storage $/GiB-month</t>
        </is>
      </c>
      <c r="B49" s="36">
        <f>IF($B$5="AWS",0.08,IF($B$5="GCP",0.17,0.132))</f>
        <v/>
      </c>
      <c r="J49" s="10" t="inlineStr">
        <is>
          <t>EBS gp3 / Azure Premium SSD / GCP PD-SSD</t>
        </is>
      </c>
      <c r="K49" s="23" t="n"/>
      <c r="L49" s="23" t="n"/>
      <c r="M49" s="23" t="n"/>
      <c r="N49" s="23" t="n"/>
      <c r="O49" s="23" t="n"/>
      <c r="P49" s="23" t="n"/>
      <c r="Q49" s="23" t="n"/>
      <c r="R49" s="24" t="n"/>
    </row>
    <row r="50" ht="21" customHeight="1">
      <c r="A50" s="6" t="inlineStr">
        <is>
          <t>Data Store</t>
        </is>
      </c>
      <c r="B50" s="37" t="inlineStr">
        <is>
          <t>Replicas</t>
        </is>
      </c>
      <c r="C50" s="37" t="inlineStr">
        <is>
          <t>Disk/Node GiB</t>
        </is>
      </c>
      <c r="D50" s="37" t="inlineStr">
        <is>
          <t>Deployment</t>
        </is>
      </c>
      <c r="F50" s="30" t="inlineStr">
        <is>
          <t>Deployment legend ↓</t>
        </is>
      </c>
    </row>
    <row r="51" ht="23" customHeight="1">
      <c r="A51" s="6" t="inlineStr">
        <is>
          <t xml:space="preserve">  MongoDB</t>
        </is>
      </c>
      <c r="B51" s="13">
        <f>IF(D51="N/A",0,IF(B6="No",1,3))</f>
        <v/>
      </c>
      <c r="C51" s="13">
        <f>IF(D51="N/A",0,256)</f>
        <v/>
      </c>
      <c r="D51" s="8" t="inlineStr">
        <is>
          <t>Self-Hosted</t>
        </is>
      </c>
      <c r="F51" s="38" t="inlineStr">
        <is>
          <t>Deployment legend
• Enterprise  → vendor-managed SaaS: license/pricing only, no hardware on our cluster.
• Self-Hosted → runs on our cluster: hardware/PVC only, no commercial license.
• N/A         → service not required: may rely on shared resources; all costs 0.</t>
        </is>
      </c>
    </row>
    <row r="52" ht="22" customHeight="1">
      <c r="A52" s="6" t="inlineStr">
        <is>
          <t xml:space="preserve">  OpenSearch</t>
        </is>
      </c>
      <c r="B52" s="13">
        <f>IF(D52="N/A",0,IF(B6="No",1,3))</f>
        <v/>
      </c>
      <c r="C52" s="13">
        <f>IF(D52="N/A",0,100)</f>
        <v/>
      </c>
      <c r="D52" s="8" t="inlineStr">
        <is>
          <t>Self-Hosted</t>
        </is>
      </c>
    </row>
    <row r="53" ht="22" customHeight="1">
      <c r="A53" s="6" t="inlineStr">
        <is>
          <t xml:space="preserve">  Neo4j</t>
        </is>
      </c>
      <c r="B53" s="13">
        <f>IF(D53="N/A",0,IF(B6="No",1,3))</f>
        <v/>
      </c>
      <c r="C53" s="13">
        <f>IF(D53="N/A",0,64)</f>
        <v/>
      </c>
      <c r="D53" s="8" t="inlineStr">
        <is>
          <t>Self-Hosted</t>
        </is>
      </c>
    </row>
    <row r="54" ht="23" customHeight="1">
      <c r="A54" s="6" t="inlineStr">
        <is>
          <t xml:space="preserve">  Redis</t>
        </is>
      </c>
      <c r="B54" s="13">
        <f>IF(D54="N/A",0,IF(B6="No",1,6))</f>
        <v/>
      </c>
      <c r="C54" s="13">
        <f>IF(D54="N/A",0,32)</f>
        <v/>
      </c>
      <c r="D54" s="8" t="inlineStr">
        <is>
          <t>Self-Hosted</t>
        </is>
      </c>
      <c r="J54" s="10" t="inlineStr">
        <is>
          <t>Replicas &amp; PVC per Redis node (non-prod default: 1); Deployment gates row.</t>
        </is>
      </c>
      <c r="K54" s="23" t="n"/>
      <c r="L54" s="23" t="n"/>
      <c r="M54" s="23" t="n"/>
      <c r="N54" s="23" t="n"/>
      <c r="O54" s="23" t="n"/>
      <c r="P54" s="23" t="n"/>
      <c r="Q54" s="23" t="n"/>
      <c r="R54" s="24" t="n"/>
    </row>
    <row r="55" ht="23" customHeight="1">
      <c r="A55" s="6" t="inlineStr">
        <is>
          <t xml:space="preserve">  ClickHouse</t>
        </is>
      </c>
      <c r="B55" s="13">
        <f>IF(D55="N/A",0,IF(B6="No",1,6))</f>
        <v/>
      </c>
      <c r="C55" s="13">
        <f>IF(D55="N/A",0,256)</f>
        <v/>
      </c>
      <c r="D55" s="8" t="inlineStr">
        <is>
          <t>Self-Hosted</t>
        </is>
      </c>
      <c r="J55" s="10" t="inlineStr">
        <is>
          <t>Replicas &amp; PVC per ClickHouse shard replica (non-prod default: 1); Deployment gates row.</t>
        </is>
      </c>
      <c r="K55" s="23" t="n"/>
      <c r="L55" s="23" t="n"/>
      <c r="M55" s="23" t="n"/>
      <c r="N55" s="23" t="n"/>
      <c r="O55" s="23" t="n"/>
      <c r="P55" s="23" t="n"/>
      <c r="Q55" s="23" t="n"/>
      <c r="R55" s="24" t="n"/>
    </row>
    <row r="56" ht="23" customHeight="1">
      <c r="A56" s="6" t="inlineStr">
        <is>
          <t xml:space="preserve">  Kafka</t>
        </is>
      </c>
      <c r="B56" s="13">
        <f>IF(D56="N/A",0,IF(B6="No",1,3))</f>
        <v/>
      </c>
      <c r="C56" s="13">
        <f>IF(D56="N/A",0,128)</f>
        <v/>
      </c>
      <c r="D56" s="8" t="inlineStr">
        <is>
          <t>Self-Hosted</t>
        </is>
      </c>
      <c r="J56" s="10" t="inlineStr">
        <is>
          <t>Replicas &amp; PVC per Kafka broker (non-prod default: 1); Deployment gates row.</t>
        </is>
      </c>
      <c r="K56" s="23" t="n"/>
      <c r="L56" s="23" t="n"/>
      <c r="M56" s="23" t="n"/>
      <c r="N56" s="23" t="n"/>
      <c r="O56" s="23" t="n"/>
      <c r="P56" s="23" t="n"/>
      <c r="Q56" s="23" t="n"/>
      <c r="R56" s="24" t="n"/>
    </row>
    <row r="57" ht="23" customHeight="1">
      <c r="A57" s="6" t="inlineStr">
        <is>
          <t xml:space="preserve">  RocksDB</t>
        </is>
      </c>
      <c r="B57" s="13">
        <f>IF(D57="N/A",0,IF(B6="No",1,3))</f>
        <v/>
      </c>
      <c r="C57" s="13">
        <f>IF(D57="N/A",0,20)</f>
        <v/>
      </c>
      <c r="D57" s="8" t="inlineStr">
        <is>
          <t>Self-Hosted</t>
        </is>
      </c>
      <c r="J57" s="10" t="inlineStr">
        <is>
          <t>Embedded KV (no SaaS option); Self-Hosted only. Replicas &amp; PVC per node.</t>
        </is>
      </c>
      <c r="K57" s="23" t="n"/>
      <c r="L57" s="23" t="n"/>
      <c r="M57" s="23" t="n"/>
      <c r="N57" s="23" t="n"/>
      <c r="O57" s="23" t="n"/>
      <c r="P57" s="23" t="n"/>
      <c r="Q57" s="23" t="n"/>
      <c r="R57" s="24" t="n"/>
    </row>
    <row r="58" ht="23" customHeight="1">
      <c r="A58" s="6" t="inlineStr">
        <is>
          <t>Dirty pages per turn (IOPS)</t>
        </is>
      </c>
      <c r="B58" s="12" t="n">
        <v>8.199999999999999</v>
      </c>
      <c r="J58" s="10" t="inlineStr">
        <is>
          <t>OTel: 0.78 writes × index amplification</t>
        </is>
      </c>
      <c r="K58" s="23" t="n"/>
      <c r="L58" s="23" t="n"/>
      <c r="M58" s="23" t="n"/>
      <c r="N58" s="23" t="n"/>
      <c r="O58" s="23" t="n"/>
      <c r="P58" s="23" t="n"/>
      <c r="Q58" s="23" t="n"/>
      <c r="R58" s="24" t="n"/>
    </row>
    <row r="59" ht="10" customHeight="1"/>
    <row r="60" ht="24" customHeight="1">
      <c r="A60" s="39" t="inlineStr">
        <is>
          <t>RUNTIME (chat agents)</t>
        </is>
      </c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7" t="n"/>
    </row>
    <row r="61" ht="24" customHeight="1">
      <c r="A61" s="5" t="inlineStr">
        <is>
          <t>Service</t>
        </is>
      </c>
      <c r="B61" s="5" t="inlineStr">
        <is>
          <t>Min</t>
        </is>
      </c>
      <c r="C61" s="5" t="inlineStr">
        <is>
          <t>Max (HPA)</t>
        </is>
      </c>
      <c r="D61" s="5" t="inlineStr">
        <is>
          <t>CPU Req</t>
        </is>
      </c>
      <c r="E61" s="5" t="inlineStr">
        <is>
          <t>CPU Lim</t>
        </is>
      </c>
      <c r="F61" s="5" t="inlineStr">
        <is>
          <t>Mem Req Gi</t>
        </is>
      </c>
      <c r="G61" s="5" t="inlineStr">
        <is>
          <t>Mem Lim Gi</t>
        </is>
      </c>
      <c r="H61" s="5" t="inlineStr">
        <is>
          <t>Total CPU</t>
        </is>
      </c>
      <c r="I61" s="5" t="inlineStr">
        <is>
          <t>Total Mem Gi</t>
        </is>
      </c>
      <c r="J61" s="5" t="inlineStr">
        <is>
          <t>Pool</t>
        </is>
      </c>
      <c r="K61" s="5" t="inlineStr">
        <is>
          <t>VM Type</t>
        </is>
      </c>
      <c r="L61" s="5" t="inlineStr">
        <is>
          <t>Req Nodes</t>
        </is>
      </c>
      <c r="M61" s="5" t="inlineStr">
        <is>
          <t>Throughput/pod</t>
        </is>
      </c>
      <c r="N61" s="5" t="inlineStr">
        <is>
          <t>p50</t>
        </is>
      </c>
      <c r="O61" s="5" t="inlineStr">
        <is>
          <t>p90</t>
        </is>
      </c>
      <c r="P61" s="5" t="inlineStr">
        <is>
          <t>p95</t>
        </is>
      </c>
      <c r="Q61" s="5" t="inlineStr">
        <is>
          <t>p99</t>
        </is>
      </c>
    </row>
    <row r="62" ht="22" customHeight="1">
      <c r="A62" s="6" t="inlineStr">
        <is>
          <t>admin</t>
        </is>
      </c>
      <c r="B62" s="32">
        <f>IF(B6="No",1,MIN(C62,MAX(Q7,2)))</f>
        <v/>
      </c>
      <c r="C62" s="13" t="n">
        <v>4</v>
      </c>
      <c r="D62" s="40" t="n">
        <v>0.25</v>
      </c>
      <c r="E62" s="40" t="n">
        <v>1</v>
      </c>
      <c r="F62" s="40" t="n">
        <v>0.256</v>
      </c>
      <c r="G62" s="40" t="n">
        <v>1</v>
      </c>
      <c r="H62" s="41">
        <f>B62*D62</f>
        <v>0.0</v>
      </c>
      <c r="I62" s="41">
        <f>B62*F62</f>
        <v>0.0</v>
      </c>
      <c r="J62" s="34" t="inlineStr">
        <is>
          <t>user</t>
        </is>
      </c>
      <c r="K62" s="34">
        <f>B23</f>
        <v>0.0</v>
      </c>
      <c r="L62" s="42">
        <f>CEILING(B62/B22,1)</f>
        <v/>
      </c>
      <c r="M62" s="12" t="n">
        <v>20</v>
      </c>
      <c r="N62" s="8" t="inlineStr"/>
      <c r="O62" s="8" t="inlineStr"/>
      <c r="P62" s="8" t="inlineStr"/>
      <c r="Q62" s="8" t="inlineStr"/>
    </row>
    <row r="63" ht="22" customHeight="1">
      <c r="A63" s="6" t="inlineStr">
        <is>
          <t>runtime</t>
        </is>
      </c>
      <c r="B63" s="32">
        <f>IF(B6="No",MAX(1,CEILING(B8/(M63*B21),1)),MIN(C63,MAX(Q7,CEILING(B8/(M63*B21),1),IF(AND(B9&gt;0,B10&gt;0),CEILING(B9/(B10*B21),1),0))))</f>
        <v/>
      </c>
      <c r="C63" s="13" t="n">
        <v>45</v>
      </c>
      <c r="D63" s="40" t="n">
        <v>1</v>
      </c>
      <c r="E63" s="40" t="n">
        <v>4</v>
      </c>
      <c r="F63" s="40" t="n">
        <v>2</v>
      </c>
      <c r="G63" s="40" t="n">
        <v>4</v>
      </c>
      <c r="H63" s="41">
        <f>B63*D63</f>
        <v>0.0</v>
      </c>
      <c r="I63" s="41">
        <f>B63*F63</f>
        <v>0.0</v>
      </c>
      <c r="J63" s="34" t="inlineStr">
        <is>
          <t>user</t>
        </is>
      </c>
      <c r="K63" s="34">
        <f>B23</f>
        <v>0.0</v>
      </c>
      <c r="L63" s="42">
        <f>CEILING(B63/B22,1)</f>
        <v/>
      </c>
      <c r="M63" s="12" t="n">
        <v>12</v>
      </c>
      <c r="N63" s="8" t="inlineStr"/>
      <c r="O63" s="8" t="inlineStr"/>
      <c r="P63" s="8" t="inlineStr"/>
      <c r="Q63" s="8" t="inlineStr"/>
    </row>
    <row r="64" ht="22" customHeight="1">
      <c r="A64" s="6" t="inlineStr">
        <is>
          <t>studio</t>
        </is>
      </c>
      <c r="B64" s="32">
        <f>IF(B6="No",MAX(1,CEILING(B63*B11,1)),MIN(C64,MAX(Q7,CEILING(B63*B11,1))))</f>
        <v/>
      </c>
      <c r="C64" s="13" t="n">
        <v>12</v>
      </c>
      <c r="D64" s="40" t="n">
        <v>1</v>
      </c>
      <c r="E64" s="40" t="n">
        <v>2</v>
      </c>
      <c r="F64" s="40" t="n">
        <v>1</v>
      </c>
      <c r="G64" s="40" t="n">
        <v>2</v>
      </c>
      <c r="H64" s="41">
        <f>B64*D64</f>
        <v>0.0</v>
      </c>
      <c r="I64" s="41">
        <f>B64*F64</f>
        <v>0.0</v>
      </c>
      <c r="J64" s="34" t="inlineStr">
        <is>
          <t>user</t>
        </is>
      </c>
      <c r="K64" s="34">
        <f>B23</f>
        <v>0.0</v>
      </c>
      <c r="L64" s="42">
        <f>CEILING(B64/B22,1)</f>
        <v/>
      </c>
      <c r="M64" s="12" t="n">
        <v>20</v>
      </c>
      <c r="N64" s="8" t="inlineStr"/>
      <c r="O64" s="8" t="inlineStr"/>
      <c r="P64" s="8" t="inlineStr"/>
      <c r="Q64" s="8" t="inlineStr"/>
    </row>
    <row r="65" ht="10" customHeight="1"/>
    <row r="66" ht="24" customHeight="1">
      <c r="A66" s="43" t="inlineStr">
        <is>
          <t>SEARCH AI</t>
        </is>
      </c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7" t="n"/>
    </row>
    <row r="67" ht="24" customHeight="1">
      <c r="A67" s="5" t="inlineStr">
        <is>
          <t>Service</t>
        </is>
      </c>
      <c r="B67" s="5" t="inlineStr">
        <is>
          <t>Min</t>
        </is>
      </c>
      <c r="C67" s="5" t="inlineStr">
        <is>
          <t>Max (HPA)</t>
        </is>
      </c>
      <c r="D67" s="5" t="inlineStr">
        <is>
          <t>CPU Req</t>
        </is>
      </c>
      <c r="E67" s="5" t="inlineStr">
        <is>
          <t>CPU Lim</t>
        </is>
      </c>
      <c r="F67" s="5" t="inlineStr">
        <is>
          <t>Mem Req Gi</t>
        </is>
      </c>
      <c r="G67" s="5" t="inlineStr">
        <is>
          <t>Mem Lim Gi</t>
        </is>
      </c>
      <c r="H67" s="5" t="inlineStr">
        <is>
          <t>Total CPU</t>
        </is>
      </c>
      <c r="I67" s="5" t="inlineStr">
        <is>
          <t>Total Mem Gi</t>
        </is>
      </c>
      <c r="J67" s="5" t="inlineStr">
        <is>
          <t>Pool</t>
        </is>
      </c>
      <c r="K67" s="5" t="inlineStr">
        <is>
          <t>VM Type</t>
        </is>
      </c>
      <c r="L67" s="5" t="inlineStr">
        <is>
          <t>Req Nodes</t>
        </is>
      </c>
      <c r="M67" s="5" t="inlineStr">
        <is>
          <t>Throughput/pod</t>
        </is>
      </c>
      <c r="N67" s="5" t="inlineStr">
        <is>
          <t>p50</t>
        </is>
      </c>
      <c r="O67" s="5" t="inlineStr">
        <is>
          <t>p90</t>
        </is>
      </c>
      <c r="P67" s="5" t="inlineStr">
        <is>
          <t>p95</t>
        </is>
      </c>
      <c r="Q67" s="5" t="inlineStr">
        <is>
          <t>p99</t>
        </is>
      </c>
    </row>
    <row r="68" ht="22" customHeight="1">
      <c r="A68" s="6" t="inlineStr">
        <is>
          <t>search-ai</t>
        </is>
      </c>
      <c r="B68" s="32">
        <f>IF(B6="No",MAX(1,CEILING(B14/(M68*B21),1)),MIN(C68,MAX(Q7,CEILING(B14/(M68*B21),1))))</f>
        <v/>
      </c>
      <c r="C68" s="13" t="n">
        <v>8</v>
      </c>
      <c r="D68" s="40" t="n">
        <v>2</v>
      </c>
      <c r="E68" s="40" t="n">
        <v>6</v>
      </c>
      <c r="F68" s="40" t="n">
        <v>4</v>
      </c>
      <c r="G68" s="40" t="n">
        <v>8</v>
      </c>
      <c r="H68" s="41">
        <f>B68*D68</f>
        <v>0.0</v>
      </c>
      <c r="I68" s="41">
        <f>B68*F68</f>
        <v>0.0</v>
      </c>
      <c r="J68" s="34" t="inlineStr">
        <is>
          <t>user</t>
        </is>
      </c>
      <c r="K68" s="34">
        <f>B23</f>
        <v>0.0</v>
      </c>
      <c r="L68" s="42">
        <f>CEILING(B68/B22,1)</f>
        <v/>
      </c>
      <c r="M68" s="12" t="n">
        <v>14.3</v>
      </c>
      <c r="N68" s="13" t="n">
        <v>871</v>
      </c>
      <c r="O68" s="13" t="n">
        <v>1750</v>
      </c>
      <c r="P68" s="13" t="n">
        <v>2420</v>
      </c>
      <c r="Q68" s="13" t="n">
        <v>10010</v>
      </c>
    </row>
    <row r="69" ht="22" customHeight="1">
      <c r="A69" s="6" t="inlineStr">
        <is>
          <t>search-ai-runtime</t>
        </is>
      </c>
      <c r="B69" s="32">
        <f>IF(B6="No",MAX(1,CEILING(B12/(M69*B21),1)),MIN(C69,MAX(Q7,CEILING(B12/(M69*B21),1))))</f>
        <v/>
      </c>
      <c r="C69" s="13" t="n">
        <v>8</v>
      </c>
      <c r="D69" s="40" t="n">
        <v>1</v>
      </c>
      <c r="E69" s="40" t="n">
        <v>2</v>
      </c>
      <c r="F69" s="40" t="n">
        <v>2</v>
      </c>
      <c r="G69" s="40" t="n">
        <v>4</v>
      </c>
      <c r="H69" s="41">
        <f>B69*D69</f>
        <v>0.0</v>
      </c>
      <c r="I69" s="41">
        <f>B69*F69</f>
        <v>0.0</v>
      </c>
      <c r="J69" s="34" t="inlineStr">
        <is>
          <t>user</t>
        </is>
      </c>
      <c r="K69" s="34">
        <f>B23</f>
        <v>0.0</v>
      </c>
      <c r="L69" s="42">
        <f>CEILING(B69/B22,1)</f>
        <v/>
      </c>
      <c r="M69" s="12" t="n">
        <v>30</v>
      </c>
      <c r="N69" s="13" t="n">
        <v>938</v>
      </c>
      <c r="O69" s="13" t="n">
        <v>1113</v>
      </c>
      <c r="P69" s="13" t="n">
        <v>1570</v>
      </c>
      <c r="Q69" s="13" t="n">
        <v>1958</v>
      </c>
    </row>
    <row r="70" ht="10" customHeight="1"/>
    <row r="71" ht="24" customHeight="1">
      <c r="A71" s="44" t="inlineStr">
        <is>
          <t>WORKFLOW</t>
        </is>
      </c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7" t="n"/>
    </row>
    <row r="72" ht="24" customHeight="1">
      <c r="A72" s="5" t="inlineStr">
        <is>
          <t>Service</t>
        </is>
      </c>
      <c r="B72" s="5" t="inlineStr">
        <is>
          <t>Min</t>
        </is>
      </c>
      <c r="C72" s="5" t="inlineStr">
        <is>
          <t>Max (HPA)</t>
        </is>
      </c>
      <c r="D72" s="5" t="inlineStr">
        <is>
          <t>CPU Req</t>
        </is>
      </c>
      <c r="E72" s="5" t="inlineStr">
        <is>
          <t>CPU Lim</t>
        </is>
      </c>
      <c r="F72" s="5" t="inlineStr">
        <is>
          <t>Mem Req Gi</t>
        </is>
      </c>
      <c r="G72" s="5" t="inlineStr">
        <is>
          <t>Mem Lim Gi</t>
        </is>
      </c>
      <c r="H72" s="5" t="inlineStr">
        <is>
          <t>Total CPU</t>
        </is>
      </c>
      <c r="I72" s="5" t="inlineStr">
        <is>
          <t>Total Mem Gi</t>
        </is>
      </c>
      <c r="J72" s="5" t="inlineStr">
        <is>
          <t>Pool</t>
        </is>
      </c>
      <c r="K72" s="5" t="inlineStr">
        <is>
          <t>VM Type</t>
        </is>
      </c>
      <c r="L72" s="5" t="inlineStr">
        <is>
          <t>Req Nodes</t>
        </is>
      </c>
      <c r="M72" s="5" t="inlineStr">
        <is>
          <t>Throughput/pod</t>
        </is>
      </c>
      <c r="N72" s="5" t="inlineStr">
        <is>
          <t>p50</t>
        </is>
      </c>
      <c r="O72" s="5" t="inlineStr">
        <is>
          <t>p90</t>
        </is>
      </c>
      <c r="P72" s="5" t="inlineStr">
        <is>
          <t>p95</t>
        </is>
      </c>
      <c r="Q72" s="5" t="inlineStr">
        <is>
          <t>p99</t>
        </is>
      </c>
    </row>
    <row r="73" ht="22" customHeight="1">
      <c r="A73" s="6" t="inlineStr">
        <is>
          <t>restate-workflows</t>
        </is>
      </c>
      <c r="B73" s="32">
        <f>IF(B6="No",1,MIN(C73,MAX(Q7,2)))</f>
        <v/>
      </c>
      <c r="C73" s="13" t="n">
        <v>2</v>
      </c>
      <c r="D73" s="40" t="n">
        <v>0.1</v>
      </c>
      <c r="E73" s="40" t="n">
        <v>0.5</v>
      </c>
      <c r="F73" s="40" t="n">
        <v>0.5</v>
      </c>
      <c r="G73" s="40" t="n">
        <v>1</v>
      </c>
      <c r="H73" s="41">
        <f>B73*D73</f>
        <v>0.0</v>
      </c>
      <c r="I73" s="41">
        <f>B73*F73</f>
        <v>0.0</v>
      </c>
      <c r="J73" s="34" t="inlineStr">
        <is>
          <t>user</t>
        </is>
      </c>
      <c r="K73" s="34">
        <f>B23</f>
        <v>0.0</v>
      </c>
      <c r="L73" s="42">
        <f>CEILING(B73/B22,1)</f>
        <v/>
      </c>
      <c r="M73" s="12" t="n">
        <v>4</v>
      </c>
      <c r="N73" s="8" t="inlineStr"/>
      <c r="O73" s="8" t="inlineStr"/>
      <c r="P73" s="8" t="inlineStr"/>
      <c r="Q73" s="8" t="inlineStr"/>
    </row>
    <row r="74" ht="22" customHeight="1">
      <c r="A74" s="6" t="inlineStr">
        <is>
          <t>workflow-engine</t>
        </is>
      </c>
      <c r="B74" s="32">
        <f>IF(B6="No",1,MIN(C74,MAX(Q7,2)))</f>
        <v/>
      </c>
      <c r="C74" s="13" t="n">
        <v>5</v>
      </c>
      <c r="D74" s="40" t="n">
        <v>0.5</v>
      </c>
      <c r="E74" s="40" t="n">
        <v>2</v>
      </c>
      <c r="F74" s="40" t="n">
        <v>1</v>
      </c>
      <c r="G74" s="40" t="n">
        <v>4</v>
      </c>
      <c r="H74" s="41">
        <f>B74*D74</f>
        <v>0.0</v>
      </c>
      <c r="I74" s="41">
        <f>B74*F74</f>
        <v>0.0</v>
      </c>
      <c r="J74" s="34" t="inlineStr">
        <is>
          <t>user</t>
        </is>
      </c>
      <c r="K74" s="34">
        <f>B23</f>
        <v>0.0</v>
      </c>
      <c r="L74" s="42">
        <f>CEILING(B74/B22,1)</f>
        <v/>
      </c>
      <c r="M74" s="12" t="n">
        <v>4</v>
      </c>
      <c r="N74" s="8" t="inlineStr"/>
      <c r="O74" s="8" t="inlineStr"/>
      <c r="P74" s="8" t="inlineStr"/>
      <c r="Q74" s="8" t="inlineStr"/>
    </row>
    <row r="75" ht="10" customHeight="1"/>
    <row r="76" ht="24" customHeight="1">
      <c r="A76" s="45" t="inlineStr">
        <is>
          <t>PIPELINE ENGINE</t>
        </is>
      </c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7" t="n"/>
    </row>
    <row r="77" ht="24" customHeight="1">
      <c r="A77" s="5" t="inlineStr">
        <is>
          <t>Service</t>
        </is>
      </c>
      <c r="B77" s="5" t="inlineStr">
        <is>
          <t>Min</t>
        </is>
      </c>
      <c r="C77" s="5" t="inlineStr">
        <is>
          <t>Max (HPA)</t>
        </is>
      </c>
      <c r="D77" s="5" t="inlineStr">
        <is>
          <t>CPU Req</t>
        </is>
      </c>
      <c r="E77" s="5" t="inlineStr">
        <is>
          <t>CPU Lim</t>
        </is>
      </c>
      <c r="F77" s="5" t="inlineStr">
        <is>
          <t>Mem Req Gi</t>
        </is>
      </c>
      <c r="G77" s="5" t="inlineStr">
        <is>
          <t>Mem Lim Gi</t>
        </is>
      </c>
      <c r="H77" s="5" t="inlineStr">
        <is>
          <t>Total CPU</t>
        </is>
      </c>
      <c r="I77" s="5" t="inlineStr">
        <is>
          <t>Total Mem Gi</t>
        </is>
      </c>
      <c r="J77" s="5" t="inlineStr">
        <is>
          <t>Pool</t>
        </is>
      </c>
      <c r="K77" s="5" t="inlineStr">
        <is>
          <t>VM Type</t>
        </is>
      </c>
      <c r="L77" s="5" t="inlineStr">
        <is>
          <t>Req Nodes</t>
        </is>
      </c>
      <c r="M77" s="5" t="inlineStr">
        <is>
          <t>Throughput/pod</t>
        </is>
      </c>
      <c r="N77" s="5" t="inlineStr">
        <is>
          <t>p50</t>
        </is>
      </c>
      <c r="O77" s="5" t="inlineStr">
        <is>
          <t>p90</t>
        </is>
      </c>
      <c r="P77" s="5" t="inlineStr">
        <is>
          <t>p95</t>
        </is>
      </c>
      <c r="Q77" s="5" t="inlineStr">
        <is>
          <t>p99</t>
        </is>
      </c>
    </row>
    <row r="78" ht="22" customHeight="1">
      <c r="A78" s="6" t="inlineStr">
        <is>
          <t>pipeline-engine</t>
        </is>
      </c>
      <c r="B78" s="32">
        <f>IF(B6="No",1,MIN(C78,MAX(Q7,2)))</f>
        <v/>
      </c>
      <c r="C78" s="13" t="n">
        <v>2</v>
      </c>
      <c r="D78" s="40" t="n">
        <v>1</v>
      </c>
      <c r="E78" s="40" t="n">
        <v>2</v>
      </c>
      <c r="F78" s="40" t="n">
        <v>1</v>
      </c>
      <c r="G78" s="40" t="n">
        <v>4</v>
      </c>
      <c r="H78" s="41">
        <f>B78*D78</f>
        <v>0.0</v>
      </c>
      <c r="I78" s="41">
        <f>B78*F78</f>
        <v>0.0</v>
      </c>
      <c r="J78" s="34" t="inlineStr">
        <is>
          <t>user</t>
        </is>
      </c>
      <c r="K78" s="34">
        <f>B23</f>
        <v>0.0</v>
      </c>
      <c r="L78" s="42">
        <f>CEILING(B78/B22,1)</f>
        <v/>
      </c>
      <c r="M78" s="12" t="n">
        <v>4</v>
      </c>
      <c r="N78" s="8" t="inlineStr"/>
      <c r="O78" s="8" t="inlineStr"/>
      <c r="P78" s="8" t="inlineStr"/>
      <c r="Q78" s="8" t="inlineStr"/>
    </row>
    <row r="79" ht="22" customHeight="1">
      <c r="A79" s="6" t="inlineStr">
        <is>
          <t>restate</t>
        </is>
      </c>
      <c r="B79" s="32">
        <f>IF(B6="No",1,MIN(C79,MAX(Q7,2)))</f>
        <v/>
      </c>
      <c r="C79" s="13" t="n">
        <v>2</v>
      </c>
      <c r="D79" s="40" t="n">
        <v>1</v>
      </c>
      <c r="E79" s="40" t="n">
        <v>4</v>
      </c>
      <c r="F79" s="40" t="n">
        <v>2</v>
      </c>
      <c r="G79" s="40" t="n">
        <v>6</v>
      </c>
      <c r="H79" s="41">
        <f>B79*D79</f>
        <v>0.0</v>
      </c>
      <c r="I79" s="41">
        <f>B79*F79</f>
        <v>0.0</v>
      </c>
      <c r="J79" s="34" t="inlineStr">
        <is>
          <t>user</t>
        </is>
      </c>
      <c r="K79" s="34">
        <f>B23</f>
        <v>0.0</v>
      </c>
      <c r="L79" s="42">
        <f>CEILING(B79/B22,1)</f>
        <v/>
      </c>
      <c r="M79" s="12" t="n">
        <v>4</v>
      </c>
      <c r="N79" s="8" t="inlineStr"/>
      <c r="O79" s="8" t="inlineStr"/>
      <c r="P79" s="8" t="inlineStr"/>
      <c r="Q79" s="8" t="inlineStr"/>
    </row>
    <row r="80" ht="22" customHeight="1">
      <c r="A80" s="6" t="inlineStr">
        <is>
          <t>restate-op</t>
        </is>
      </c>
      <c r="B80" s="32">
        <f>IF(B6="No",1,MIN(C80,MAX(Q7,2)))</f>
        <v/>
      </c>
      <c r="C80" s="13" t="n">
        <v>2</v>
      </c>
      <c r="D80" s="40" t="n">
        <v>1</v>
      </c>
      <c r="E80" s="40" t="n">
        <v>4</v>
      </c>
      <c r="F80" s="40" t="n">
        <v>2</v>
      </c>
      <c r="G80" s="40" t="n">
        <v>6</v>
      </c>
      <c r="H80" s="41">
        <f>B80*D80</f>
        <v>0.0</v>
      </c>
      <c r="I80" s="41">
        <f>B80*F80</f>
        <v>0.0</v>
      </c>
      <c r="J80" s="34" t="inlineStr">
        <is>
          <t>user</t>
        </is>
      </c>
      <c r="K80" s="34">
        <f>B23</f>
        <v>0.0</v>
      </c>
      <c r="L80" s="42">
        <f>CEILING(B80/B22,1)</f>
        <v/>
      </c>
      <c r="M80" s="12" t="n">
        <v>4</v>
      </c>
      <c r="N80" s="8" t="inlineStr"/>
      <c r="O80" s="8" t="inlineStr"/>
      <c r="P80" s="8" t="inlineStr"/>
      <c r="Q80" s="8" t="inlineStr"/>
    </row>
    <row r="81" ht="10" customHeight="1"/>
    <row r="82" ht="24" customHeight="1">
      <c r="A82" s="46" t="inlineStr">
        <is>
          <t>DATA STORES</t>
        </is>
      </c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7" t="n"/>
    </row>
    <row r="83" ht="24" customHeight="1">
      <c r="A83" s="5" t="inlineStr">
        <is>
          <t>Service</t>
        </is>
      </c>
      <c r="B83" s="5" t="inlineStr">
        <is>
          <t>Replicas</t>
        </is>
      </c>
      <c r="C83" s="5" t="inlineStr"/>
      <c r="D83" s="5" t="inlineStr">
        <is>
          <t>CPU Req</t>
        </is>
      </c>
      <c r="E83" s="5" t="inlineStr">
        <is>
          <t>CPU Lim</t>
        </is>
      </c>
      <c r="F83" s="5" t="inlineStr">
        <is>
          <t>Mem Req Gi</t>
        </is>
      </c>
      <c r="G83" s="5" t="inlineStr">
        <is>
          <t>Mem Lim Gi</t>
        </is>
      </c>
      <c r="H83" s="5" t="inlineStr">
        <is>
          <t>Total CPU</t>
        </is>
      </c>
      <c r="I83" s="5" t="inlineStr">
        <is>
          <t>Total Mem Gi</t>
        </is>
      </c>
      <c r="J83" s="5" t="inlineStr">
        <is>
          <t>Pool</t>
        </is>
      </c>
      <c r="K83" s="5" t="inlineStr">
        <is>
          <t>VM Type</t>
        </is>
      </c>
      <c r="L83" s="5" t="inlineStr">
        <is>
          <t>Throughput/pod</t>
        </is>
      </c>
      <c r="M83" s="5" t="inlineStr">
        <is>
          <t>Notes</t>
        </is>
      </c>
    </row>
    <row r="84" ht="23" customHeight="1">
      <c r="A84" s="6" t="inlineStr">
        <is>
          <t>clickhouse-keeper</t>
        </is>
      </c>
      <c r="B84" s="32">
        <f>IF(D55="Self-Hosted",IF(B6="No",1,3),0)</f>
        <v/>
      </c>
      <c r="D84" s="40" t="n">
        <v>0.25</v>
      </c>
      <c r="E84" s="40" t="n">
        <v>0.5</v>
      </c>
      <c r="F84" s="40" t="n">
        <v>0.5</v>
      </c>
      <c r="G84" s="40" t="n">
        <v>1</v>
      </c>
      <c r="H84" s="41">
        <f>B84*D84</f>
        <v>0.0</v>
      </c>
      <c r="I84" s="41">
        <f>B84*F84</f>
        <v>0.0</v>
      </c>
      <c r="J84" s="34" t="inlineStr">
        <is>
          <t>system</t>
        </is>
      </c>
      <c r="K84" s="34">
        <f>B37</f>
        <v>0.0</v>
      </c>
      <c r="L84" s="12" t="n">
        <v>500</v>
      </c>
      <c r="M84" s="10" t="inlineStr">
        <is>
          <t>ClickHouse consensus on system pool</t>
        </is>
      </c>
      <c r="N84" s="23" t="n"/>
      <c r="O84" s="23" t="n"/>
      <c r="P84" s="23" t="n"/>
      <c r="Q84" s="23" t="n"/>
      <c r="R84" s="24" t="n"/>
    </row>
    <row r="85" ht="23" customHeight="1">
      <c r="A85" s="6" t="inlineStr">
        <is>
          <t>clickhouse-shard-0</t>
        </is>
      </c>
      <c r="B85" s="32">
        <f>IF(D55="Self-Hosted",B55,0)</f>
        <v/>
      </c>
      <c r="D85" s="40" t="n">
        <v>2</v>
      </c>
      <c r="E85" s="40" t="n">
        <v>4</v>
      </c>
      <c r="F85" s="40" t="n">
        <v>4</v>
      </c>
      <c r="G85" s="40" t="n">
        <v>8</v>
      </c>
      <c r="H85" s="41">
        <f>B85*D85</f>
        <v>0.0</v>
      </c>
      <c r="I85" s="41">
        <f>B85*F85</f>
        <v>0.0</v>
      </c>
      <c r="J85" s="34" t="inlineStr">
        <is>
          <t>system</t>
        </is>
      </c>
      <c r="K85" s="34">
        <f>B37</f>
        <v>0.0</v>
      </c>
      <c r="L85" s="12" t="n">
        <v>500</v>
      </c>
      <c r="M85" s="10" t="inlineStr">
        <is>
          <t>OLAP analytics on system pool</t>
        </is>
      </c>
      <c r="N85" s="23" t="n"/>
      <c r="O85" s="23" t="n"/>
      <c r="P85" s="23" t="n"/>
      <c r="Q85" s="23" t="n"/>
      <c r="R85" s="24" t="n"/>
    </row>
    <row r="86" ht="23" customHeight="1">
      <c r="A86" s="6" t="inlineStr">
        <is>
          <t>kafka-default</t>
        </is>
      </c>
      <c r="B86" s="32">
        <f>IF(D56="Self-Hosted",B56,0)</f>
        <v/>
      </c>
      <c r="D86" s="40" t="n">
        <v>0.5</v>
      </c>
      <c r="E86" s="40" t="n">
        <v>2</v>
      </c>
      <c r="F86" s="40" t="n">
        <v>2</v>
      </c>
      <c r="G86" s="40" t="n">
        <v>4</v>
      </c>
      <c r="H86" s="41">
        <f>B86*D86</f>
        <v>0.0</v>
      </c>
      <c r="I86" s="41">
        <f>B86*F86</f>
        <v>0.0</v>
      </c>
      <c r="J86" s="34" t="inlineStr">
        <is>
          <t>user</t>
        </is>
      </c>
      <c r="K86" s="34">
        <f>B23</f>
        <v>0.0</v>
      </c>
      <c r="L86" s="12" t="n">
        <v>1000</v>
      </c>
      <c r="M86" s="10" t="inlineStr">
        <is>
          <t>Event streaming</t>
        </is>
      </c>
    </row>
    <row r="87" ht="23" customHeight="1">
      <c r="A87" s="6" t="inlineStr">
        <is>
          <t>mongodb</t>
        </is>
      </c>
      <c r="B87" s="32">
        <f>IF(D51="Self-Hosted",B51,0)</f>
        <v/>
      </c>
      <c r="D87" s="40" t="n">
        <v>8</v>
      </c>
      <c r="E87" s="40" t="n">
        <v>16</v>
      </c>
      <c r="F87" s="40" t="n">
        <v>64</v>
      </c>
      <c r="G87" s="40" t="n">
        <v>128</v>
      </c>
      <c r="H87" s="41">
        <f>B87*D87</f>
        <v>0.0</v>
      </c>
      <c r="I87" s="41">
        <f>B87*F87</f>
        <v>0.0</v>
      </c>
      <c r="J87" s="34" t="inlineStr">
        <is>
          <t>database (mongo)</t>
        </is>
      </c>
      <c r="K87" s="34">
        <f>B27</f>
        <v>0.0</v>
      </c>
      <c r="L87" s="12" t="n">
        <v>1000</v>
      </c>
      <c r="M87" s="10" t="inlineStr">
        <is>
          <t>MongoDB replica set (editable replicas above)</t>
        </is>
      </c>
      <c r="N87" s="23" t="n"/>
      <c r="O87" s="23" t="n"/>
      <c r="P87" s="23" t="n"/>
      <c r="Q87" s="23" t="n"/>
      <c r="R87" s="24" t="n"/>
    </row>
    <row r="88" ht="23" customHeight="1">
      <c r="A88" s="6" t="inlineStr">
        <is>
          <t>mongodb-arb</t>
        </is>
      </c>
      <c r="B88" s="32">
        <f>IF(IF(D51="Self-Hosted",B51,0)&lt;=1,0,IF(D51="Self-Hosted",B51,0))</f>
        <v/>
      </c>
      <c r="D88" s="40" t="n">
        <v>0.1</v>
      </c>
      <c r="E88" s="40" t="n">
        <v>0.2</v>
      </c>
      <c r="F88" s="40" t="n">
        <v>0.256</v>
      </c>
      <c r="G88" s="40" t="n">
        <v>0.5</v>
      </c>
      <c r="H88" s="41">
        <f>B88*D88</f>
        <v>0.0</v>
      </c>
      <c r="I88" s="41">
        <f>B88*F88</f>
        <v>0.0</v>
      </c>
      <c r="J88" s="34" t="inlineStr">
        <is>
          <t>database (mongo)</t>
        </is>
      </c>
      <c r="K88" s="34">
        <f>B27</f>
        <v>0.0</v>
      </c>
      <c r="L88" s="12" t="n">
        <v>1000</v>
      </c>
      <c r="M88" s="10" t="inlineStr">
        <is>
          <t>Arbiter: matches MongoDB replica count; 0 when mongo ≤ 1 or Enterprise/N/A</t>
        </is>
      </c>
      <c r="N88" s="23" t="n"/>
      <c r="O88" s="23" t="n"/>
      <c r="P88" s="23" t="n"/>
      <c r="Q88" s="23" t="n"/>
      <c r="R88" s="24" t="n"/>
    </row>
    <row r="89" ht="23" customHeight="1">
      <c r="A89" s="6" t="inlineStr">
        <is>
          <t>neo4j</t>
        </is>
      </c>
      <c r="B89" s="32">
        <f>IF(D53="Self-Hosted",B53,0)</f>
        <v/>
      </c>
      <c r="D89" s="40" t="n">
        <v>0.5</v>
      </c>
      <c r="E89" s="40" t="n">
        <v>2</v>
      </c>
      <c r="F89" s="40" t="n">
        <v>2</v>
      </c>
      <c r="G89" s="40" t="n">
        <v>4</v>
      </c>
      <c r="H89" s="41">
        <f>B89*D89</f>
        <v>0.0</v>
      </c>
      <c r="I89" s="41">
        <f>B89*F89</f>
        <v>0.0</v>
      </c>
      <c r="J89" s="34" t="inlineStr">
        <is>
          <t>database (non-mongo)</t>
        </is>
      </c>
      <c r="K89" s="34">
        <f>B31</f>
        <v>0.0</v>
      </c>
      <c r="L89" s="12" t="n">
        <v>100</v>
      </c>
      <c r="M89" s="10" t="inlineStr">
        <is>
          <t>Neo4j core cluster (HA)</t>
        </is>
      </c>
    </row>
    <row r="90" ht="23" customHeight="1">
      <c r="A90" s="6" t="inlineStr">
        <is>
          <t>opensearch</t>
        </is>
      </c>
      <c r="B90" s="32">
        <f>IF(D52="Self-Hosted",B52,0)</f>
        <v/>
      </c>
      <c r="D90" s="40" t="n">
        <v>4</v>
      </c>
      <c r="E90" s="40" t="n">
        <v>8</v>
      </c>
      <c r="F90" s="40" t="n">
        <v>32</v>
      </c>
      <c r="G90" s="40" t="n">
        <v>64</v>
      </c>
      <c r="H90" s="41">
        <f>B90*D90</f>
        <v>0.0</v>
      </c>
      <c r="I90" s="41">
        <f>B90*F90</f>
        <v>0.0</v>
      </c>
      <c r="J90" s="34" t="inlineStr">
        <is>
          <t>database (non-mongo)</t>
        </is>
      </c>
      <c r="K90" s="34">
        <f>B31</f>
        <v>0.0</v>
      </c>
      <c r="L90" s="12" t="n">
        <v>130</v>
      </c>
      <c r="M90" s="10" t="inlineStr">
        <is>
          <t>OpenSearch cluster (HA, 100Gi/node)</t>
        </is>
      </c>
      <c r="N90" s="23" t="n"/>
      <c r="O90" s="23" t="n"/>
      <c r="P90" s="23" t="n"/>
      <c r="Q90" s="23" t="n"/>
      <c r="R90" s="24" t="n"/>
    </row>
    <row r="91" ht="23" customHeight="1">
      <c r="A91" s="6" t="inlineStr">
        <is>
          <t>redis-master</t>
        </is>
      </c>
      <c r="B91" s="32">
        <f>CEILING(IF(D54="Self-Hosted",B54,0)/2,1)</f>
        <v/>
      </c>
      <c r="D91" s="40" t="n">
        <v>4</v>
      </c>
      <c r="E91" s="40" t="n">
        <v>8</v>
      </c>
      <c r="F91" s="40" t="n">
        <v>8</v>
      </c>
      <c r="G91" s="40" t="n">
        <v>16</v>
      </c>
      <c r="H91" s="41">
        <f>B91*D91</f>
        <v>0.0</v>
      </c>
      <c r="I91" s="41">
        <f>B91*F91</f>
        <v>0.0</v>
      </c>
      <c r="J91" s="34" t="inlineStr">
        <is>
          <t>database (non-mongo)</t>
        </is>
      </c>
      <c r="K91" s="34">
        <f>B31</f>
        <v>0.0</v>
      </c>
      <c r="L91" s="12" t="n">
        <v>5000</v>
      </c>
      <c r="M91" s="10" t="inlineStr">
        <is>
          <t>Redis Cluster masters/shards on database pool</t>
        </is>
      </c>
      <c r="N91" s="23" t="n"/>
      <c r="O91" s="23" t="n"/>
      <c r="P91" s="23" t="n"/>
      <c r="Q91" s="23" t="n"/>
      <c r="R91" s="24" t="n"/>
    </row>
    <row r="92" ht="23" customHeight="1">
      <c r="A92" s="6" t="inlineStr">
        <is>
          <t>redis-replicas</t>
        </is>
      </c>
      <c r="B92" s="32">
        <f>IF(D54="Self-Hosted",B54,0)-CEILING(IF(D54="Self-Hosted",B54,0)/2,1)</f>
        <v/>
      </c>
      <c r="D92" s="40" t="n">
        <v>2</v>
      </c>
      <c r="E92" s="40" t="n">
        <v>4</v>
      </c>
      <c r="F92" s="40" t="n">
        <v>8</v>
      </c>
      <c r="G92" s="40" t="n">
        <v>16</v>
      </c>
      <c r="H92" s="41">
        <f>B92*D92</f>
        <v>0.0</v>
      </c>
      <c r="I92" s="41">
        <f>B92*F92</f>
        <v>0.0</v>
      </c>
      <c r="J92" s="34" t="inlineStr">
        <is>
          <t>database (non-mongo)</t>
        </is>
      </c>
      <c r="K92" s="34">
        <f>B31</f>
        <v>0.0</v>
      </c>
      <c r="L92" s="12" t="n">
        <v>5000</v>
      </c>
      <c r="M92" s="10" t="inlineStr">
        <is>
          <t>Redis replicas on database pool</t>
        </is>
      </c>
      <c r="N92" s="23" t="n"/>
      <c r="O92" s="23" t="n"/>
      <c r="P92" s="23" t="n"/>
      <c r="Q92" s="23" t="n"/>
      <c r="R92" s="24" t="n"/>
    </row>
    <row r="93" ht="23" customHeight="1">
      <c r="A93" s="6" t="inlineStr">
        <is>
          <t>rocksdb</t>
        </is>
      </c>
      <c r="B93" s="32">
        <f>IF(D57="Self-Hosted",B57,0)</f>
        <v/>
      </c>
      <c r="D93" s="40" t="n">
        <v>0.5</v>
      </c>
      <c r="E93" s="40" t="n">
        <v>1</v>
      </c>
      <c r="F93" s="40" t="n">
        <v>2</v>
      </c>
      <c r="G93" s="40" t="n">
        <v>4</v>
      </c>
      <c r="H93" s="41">
        <f>B93*D93</f>
        <v>0.0</v>
      </c>
      <c r="I93" s="41">
        <f>B93*F93</f>
        <v>0.0</v>
      </c>
      <c r="J93" s="34" t="inlineStr">
        <is>
          <t>database (non-mongo)</t>
        </is>
      </c>
      <c r="K93" s="34">
        <f>B31</f>
        <v>0.0</v>
      </c>
      <c r="L93" s="12" t="n">
        <v>10</v>
      </c>
      <c r="M93" s="10" t="inlineStr">
        <is>
          <t>Embedded KV store (HA replicated)</t>
        </is>
      </c>
      <c r="N93" s="23" t="n"/>
      <c r="O93" s="23" t="n"/>
      <c r="P93" s="23" t="n"/>
      <c r="Q93" s="23" t="n"/>
      <c r="R93" s="24" t="n"/>
    </row>
    <row r="94" ht="21" customHeight="1">
      <c r="A94" s="6" t="inlineStr">
        <is>
          <t xml:space="preserve">  MongoDB IOPS</t>
        </is>
      </c>
      <c r="C94" s="34" t="inlineStr">
        <is>
          <t>Projected</t>
        </is>
      </c>
      <c r="D94" s="32">
        <f>B8*B58</f>
        <v>0.0</v>
      </c>
      <c r="E94" s="34" t="inlineStr">
        <is>
          <t>IOPS</t>
        </is>
      </c>
      <c r="H94" s="34" t="inlineStr">
        <is>
          <t>Ceiling</t>
        </is>
      </c>
      <c r="I94" s="32" t="n">
        <v>5000</v>
      </c>
      <c r="J94" s="9">
        <f>IF(B8*B58/5000&gt;0.9,"RED",IF(B8*B58/5000&gt;0.7,"AMBER","OK")) &amp; " (" &amp; TEXT(B8*B58/5000,"0%") &amp; ")"</f>
        <v/>
      </c>
    </row>
    <row r="95" ht="23" customHeight="1">
      <c r="A95" s="6" t="inlineStr">
        <is>
          <t xml:space="preserve">  Mongo node sizing</t>
        </is>
      </c>
      <c r="C95" s="34" t="inlineStr">
        <is>
          <t>Pool</t>
        </is>
      </c>
      <c r="D95" s="34">
        <f>B27</f>
        <v>0.0</v>
      </c>
      <c r="E95" s="34" t="inlineStr">
        <is>
          <t>Nodes</t>
        </is>
      </c>
      <c r="F95" s="32">
        <f>IF(D51="Self-Hosted",B51,0)</f>
        <v/>
      </c>
      <c r="G95" s="34" t="inlineStr">
        <is>
          <t>$/node</t>
        </is>
      </c>
      <c r="H95" s="33">
        <f>B30</f>
        <v>0.0</v>
      </c>
      <c r="J95" s="10" t="inlineStr">
        <is>
          <t>Dedicated MongoDB pool: 1 node per self-hosted replica (Enterprise SaaS → 0)</t>
        </is>
      </c>
      <c r="K95" s="23" t="n"/>
      <c r="L95" s="23" t="n"/>
      <c r="M95" s="23" t="n"/>
      <c r="N95" s="23" t="n"/>
      <c r="O95" s="23" t="n"/>
      <c r="P95" s="23" t="n"/>
      <c r="Q95" s="23" t="n"/>
      <c r="R95" s="24" t="n"/>
    </row>
    <row r="96" ht="23" customHeight="1">
      <c r="A96" s="6" t="inlineStr">
        <is>
          <t xml:space="preserve">  Kafka partitions</t>
        </is>
      </c>
      <c r="C96" s="34" t="inlineStr">
        <is>
          <t>Current</t>
        </is>
      </c>
      <c r="D96" s="34" t="inlineStr">
        <is>
          <t>3 per topic</t>
        </is>
      </c>
      <c r="E96" s="34" t="inlineStr">
        <is>
          <t>Required</t>
        </is>
      </c>
      <c r="F96" s="32">
        <f>MAX(B63,3)</f>
        <v>3.0</v>
      </c>
      <c r="G96" s="34" t="inlineStr">
        <is>
          <t>Status</t>
        </is>
      </c>
      <c r="H96" s="34">
        <f>IF(B63&gt;3,"INCREASE to "&amp;B63,"OK (3≥pods)")</f>
        <v/>
      </c>
      <c r="J96" s="10" t="inlineStr">
        <is>
          <t>partitions &gt;= consumer pods for parallel consumption</t>
        </is>
      </c>
      <c r="K96" s="23" t="n"/>
      <c r="L96" s="23" t="n"/>
      <c r="M96" s="23" t="n"/>
      <c r="N96" s="23" t="n"/>
      <c r="O96" s="23" t="n"/>
      <c r="P96" s="23" t="n"/>
      <c r="Q96" s="23" t="n"/>
      <c r="R96" s="24" t="n"/>
    </row>
    <row r="97" ht="23" customHeight="1">
      <c r="A97" s="6" t="inlineStr">
        <is>
          <t xml:space="preserve">  Restate RocksDB</t>
        </is>
      </c>
      <c r="C97" s="34" t="inlineStr">
        <is>
          <t>PVC</t>
        </is>
      </c>
      <c r="D97" s="34" t="inlineStr">
        <is>
          <t>10Gi</t>
        </is>
      </c>
      <c r="E97" s="34" t="inlineStr">
        <is>
          <t>Used</t>
        </is>
      </c>
      <c r="F97" s="34" t="inlineStr">
        <is>
          <t>&lt;1%</t>
        </is>
      </c>
      <c r="G97" s="34" t="inlineStr">
        <is>
          <t>Topology</t>
        </is>
      </c>
      <c r="H97" s="34" t="inlineStr">
        <is>
          <t>1 leader (standalone)</t>
        </is>
      </c>
      <c r="J97" s="10" t="inlineStr">
        <is>
          <t>Scale: add followers for HA, increase PVC for journal growth</t>
        </is>
      </c>
      <c r="K97" s="23" t="n"/>
      <c r="L97" s="23" t="n"/>
      <c r="M97" s="23" t="n"/>
      <c r="N97" s="23" t="n"/>
      <c r="O97" s="23" t="n"/>
      <c r="P97" s="23" t="n"/>
      <c r="Q97" s="23" t="n"/>
      <c r="R97" s="24" t="n"/>
    </row>
    <row r="98" ht="10" customHeight="1"/>
    <row r="99" ht="24" customHeight="1">
      <c r="A99" s="47" t="inlineStr">
        <is>
          <t>SUPPORTING SERVICES</t>
        </is>
      </c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7" t="n"/>
    </row>
    <row r="100" ht="24" customHeight="1">
      <c r="A100" s="5" t="inlineStr">
        <is>
          <t>Service</t>
        </is>
      </c>
      <c r="B100" s="5" t="inlineStr">
        <is>
          <t>Min</t>
        </is>
      </c>
      <c r="C100" s="5" t="inlineStr">
        <is>
          <t>Max (HPA)</t>
        </is>
      </c>
      <c r="D100" s="5" t="inlineStr">
        <is>
          <t>CPU Req</t>
        </is>
      </c>
      <c r="E100" s="5" t="inlineStr">
        <is>
          <t>CPU Lim</t>
        </is>
      </c>
      <c r="F100" s="5" t="inlineStr">
        <is>
          <t>Mem Req Gi</t>
        </is>
      </c>
      <c r="G100" s="5" t="inlineStr">
        <is>
          <t>Mem Lim Gi</t>
        </is>
      </c>
      <c r="H100" s="5" t="inlineStr">
        <is>
          <t>Total CPU</t>
        </is>
      </c>
      <c r="I100" s="5" t="inlineStr">
        <is>
          <t>Total Mem Gi</t>
        </is>
      </c>
      <c r="J100" s="5" t="inlineStr">
        <is>
          <t>Pool</t>
        </is>
      </c>
      <c r="K100" s="5" t="inlineStr">
        <is>
          <t>VM Type</t>
        </is>
      </c>
      <c r="L100" s="5" t="inlineStr">
        <is>
          <t>Throughput/pod</t>
        </is>
      </c>
      <c r="M100" s="5" t="inlineStr">
        <is>
          <t>Notes</t>
        </is>
      </c>
    </row>
    <row r="101" ht="23" customHeight="1">
      <c r="A101" s="48" t="inlineStr">
        <is>
          <t>bge-m3</t>
        </is>
      </c>
      <c r="B101" s="32">
        <f>IF(AND(B16="Yes",B17="GPU"),IF(B6="No",1,MIN(C101,MAX(Q7,CEILING((B12*B13+B14*50/60)/15/B21,1)))),0)</f>
        <v/>
      </c>
      <c r="C101" s="13">
        <f>IF(B16="Yes",4,0)</f>
        <v/>
      </c>
      <c r="D101" s="40" t="n">
        <v>4</v>
      </c>
      <c r="E101" s="40" t="n">
        <v>8</v>
      </c>
      <c r="F101" s="40" t="n">
        <v>12</v>
      </c>
      <c r="G101" s="40" t="n">
        <v>24</v>
      </c>
      <c r="H101" s="41">
        <f>B101*D101</f>
        <v>0.0</v>
      </c>
      <c r="I101" s="41">
        <f>B101*F101</f>
        <v>0.0</v>
      </c>
      <c r="J101" s="34" t="inlineStr">
        <is>
          <t>gpu</t>
        </is>
      </c>
      <c r="K101" s="34">
        <f>B35</f>
        <v>0.0</v>
      </c>
      <c r="L101" s="12" t="n">
        <v>15</v>
      </c>
      <c r="M101" s="10" t="inlineStr">
        <is>
          <t>GPU: 15 rps/pod (T4), saturates 30 conc</t>
        </is>
      </c>
      <c r="N101" s="23" t="n"/>
      <c r="O101" s="23" t="n"/>
      <c r="P101" s="23" t="n"/>
      <c r="Q101" s="23" t="n"/>
      <c r="R101" s="24" t="n"/>
    </row>
    <row r="102" ht="23" customHeight="1">
      <c r="A102" s="48" t="inlineStr">
        <is>
          <t>bge-m3-cpu</t>
        </is>
      </c>
      <c r="B102" s="32">
        <f>IF(AND(B16="Yes",B17="CPU"),IF(B6="No",1,MIN(C102,MAX(Q7,CEILING((B12*B13+B14*50/60)/4.4/B21,1)))),0)</f>
        <v/>
      </c>
      <c r="C102" s="13">
        <f>IF(B16="Yes",4,0)</f>
        <v/>
      </c>
      <c r="D102" s="40" t="n">
        <v>2</v>
      </c>
      <c r="E102" s="40" t="n">
        <v>4</v>
      </c>
      <c r="F102" s="40" t="n">
        <v>4</v>
      </c>
      <c r="G102" s="40" t="n">
        <v>8</v>
      </c>
      <c r="H102" s="41">
        <f>B102*D102</f>
        <v>0.0</v>
      </c>
      <c r="I102" s="41">
        <f>B102*F102</f>
        <v>0.0</v>
      </c>
      <c r="J102" s="34" t="inlineStr">
        <is>
          <t>user</t>
        </is>
      </c>
      <c r="K102" s="34">
        <f>B23</f>
        <v>0.0</v>
      </c>
      <c r="L102" s="12" t="n">
        <v>4.4</v>
      </c>
      <c r="M102" s="10" t="inlineStr">
        <is>
          <t>CPU: 4.4 rps/pod (4-core), saturates 10 conc</t>
        </is>
      </c>
      <c r="N102" s="23" t="n"/>
      <c r="O102" s="23" t="n"/>
      <c r="P102" s="23" t="n"/>
      <c r="Q102" s="23" t="n"/>
      <c r="R102" s="24" t="n"/>
    </row>
    <row r="103" ht="23" customHeight="1">
      <c r="A103" s="48" t="inlineStr">
        <is>
          <t>codetool-sandbox</t>
        </is>
      </c>
      <c r="B103" s="32">
        <f>IF(B6="No",1,MIN(C103,MAX(Q7,2)))</f>
        <v/>
      </c>
      <c r="C103" s="13" t="n">
        <v>2</v>
      </c>
      <c r="D103" s="40" t="n">
        <v>0.25</v>
      </c>
      <c r="E103" s="40" t="n">
        <v>2</v>
      </c>
      <c r="F103" s="40" t="n">
        <v>0.5</v>
      </c>
      <c r="G103" s="40" t="n">
        <v>2</v>
      </c>
      <c r="H103" s="41">
        <f>B103*D103</f>
        <v>0.0</v>
      </c>
      <c r="I103" s="41">
        <f>B103*F103</f>
        <v>0.0</v>
      </c>
      <c r="J103" s="34" t="inlineStr">
        <is>
          <t>user</t>
        </is>
      </c>
      <c r="K103" s="34">
        <f>B23</f>
        <v>0.0</v>
      </c>
      <c r="L103" s="12" t="n">
        <v>10</v>
      </c>
      <c r="M103" s="10" t="inlineStr">
        <is>
          <t>Sandboxed code execution</t>
        </is>
      </c>
    </row>
    <row r="104" ht="23" customHeight="1">
      <c r="A104" s="48" t="inlineStr">
        <is>
          <t>crawler-go-worker</t>
        </is>
      </c>
      <c r="B104" s="32">
        <f>IF(B6="No",1,MIN(C104,MAX(Q7,2)))</f>
        <v/>
      </c>
      <c r="C104" s="13" t="n">
        <v>5</v>
      </c>
      <c r="D104" s="40" t="n">
        <v>0.5</v>
      </c>
      <c r="E104" s="40" t="n">
        <v>2</v>
      </c>
      <c r="F104" s="40" t="n">
        <v>0.512</v>
      </c>
      <c r="G104" s="40" t="n">
        <v>2</v>
      </c>
      <c r="H104" s="41">
        <f>B104*D104</f>
        <v>0.0</v>
      </c>
      <c r="I104" s="41">
        <f>B104*F104</f>
        <v>0.0</v>
      </c>
      <c r="J104" s="34" t="inlineStr">
        <is>
          <t>user</t>
        </is>
      </c>
      <c r="K104" s="34">
        <f>B23</f>
        <v>0.0</v>
      </c>
      <c r="L104" s="12" t="n">
        <v>10</v>
      </c>
      <c r="M104" s="10" t="inlineStr">
        <is>
          <t>Web crawler worker</t>
        </is>
      </c>
    </row>
    <row r="105" ht="23" customHeight="1">
      <c r="A105" s="48" t="inlineStr">
        <is>
          <t>crawler-mcp-server</t>
        </is>
      </c>
      <c r="B105" s="32">
        <f>IF(B6="No",1,MIN(C105,MAX(Q7,2)))</f>
        <v/>
      </c>
      <c r="C105" s="13" t="n">
        <v>4</v>
      </c>
      <c r="D105" s="40" t="n">
        <v>1</v>
      </c>
      <c r="E105" s="40" t="n">
        <v>4</v>
      </c>
      <c r="F105" s="40" t="n">
        <v>2</v>
      </c>
      <c r="G105" s="40" t="n">
        <v>4</v>
      </c>
      <c r="H105" s="41">
        <f>B105*D105</f>
        <v>0.0</v>
      </c>
      <c r="I105" s="41">
        <f>B105*F105</f>
        <v>0.0</v>
      </c>
      <c r="J105" s="34" t="inlineStr">
        <is>
          <t>user</t>
        </is>
      </c>
      <c r="K105" s="34">
        <f>B23</f>
        <v>0.0</v>
      </c>
      <c r="L105" s="12" t="n">
        <v>10</v>
      </c>
      <c r="M105" s="10" t="inlineStr">
        <is>
          <t>Web crawler worker</t>
        </is>
      </c>
    </row>
    <row r="106" ht="23" customHeight="1">
      <c r="A106" s="48" t="inlineStr">
        <is>
          <t>docling</t>
        </is>
      </c>
      <c r="B106" s="32">
        <f>IF(AND(B15="Yes",B18="GPU"),IF(B6="No",1,MIN(C106,MAX(Q7,CEILING(B14/43/B21,1)))),0)</f>
        <v/>
      </c>
      <c r="C106" s="13">
        <f>IF(B15="Yes",4,0)</f>
        <v/>
      </c>
      <c r="D106" s="40" t="n">
        <v>4</v>
      </c>
      <c r="E106" s="40" t="n">
        <v>8</v>
      </c>
      <c r="F106" s="40" t="n">
        <v>12</v>
      </c>
      <c r="G106" s="40" t="n">
        <v>24</v>
      </c>
      <c r="H106" s="41">
        <f>B106*D106</f>
        <v>0.0</v>
      </c>
      <c r="I106" s="41">
        <f>B106*F106</f>
        <v>0.0</v>
      </c>
      <c r="J106" s="34" t="inlineStr">
        <is>
          <t>gpu</t>
        </is>
      </c>
      <c r="K106" s="34">
        <f>B35</f>
        <v>0.0</v>
      </c>
      <c r="L106" s="12" t="n">
        <v>43</v>
      </c>
      <c r="M106" s="10" t="inlineStr">
        <is>
          <t>GPU: 43 files/min/pod (floor, not saturated)</t>
        </is>
      </c>
      <c r="N106" s="23" t="n"/>
      <c r="O106" s="23" t="n"/>
      <c r="P106" s="23" t="n"/>
      <c r="Q106" s="23" t="n"/>
      <c r="R106" s="24" t="n"/>
    </row>
    <row r="107" ht="23" customHeight="1">
      <c r="A107" s="48" t="inlineStr">
        <is>
          <t>docling-cpu</t>
        </is>
      </c>
      <c r="B107" s="32">
        <f>IF(AND(B15="Yes",B18="CPU"),IF(B6="No",1,MIN(C107,MAX(Q7,CEILING(B14/5/B21,1)))),0)</f>
        <v/>
      </c>
      <c r="C107" s="13">
        <f>IF(B15="Yes",4,0)</f>
        <v/>
      </c>
      <c r="D107" s="40" t="n">
        <v>0.5</v>
      </c>
      <c r="E107" s="40" t="n">
        <v>2</v>
      </c>
      <c r="F107" s="40" t="n">
        <v>1.5</v>
      </c>
      <c r="G107" s="40" t="n">
        <v>4</v>
      </c>
      <c r="H107" s="41">
        <f>B107*D107</f>
        <v>0.0</v>
      </c>
      <c r="I107" s="41">
        <f>B107*F107</f>
        <v>0.0</v>
      </c>
      <c r="J107" s="34" t="inlineStr">
        <is>
          <t>user</t>
        </is>
      </c>
      <c r="K107" s="34">
        <f>B23</f>
        <v>0.0</v>
      </c>
      <c r="L107" s="12" t="n">
        <v>5</v>
      </c>
      <c r="M107" s="10" t="inlineStr">
        <is>
          <t>CPU: not load-tested</t>
        </is>
      </c>
    </row>
    <row r="108" ht="23" customHeight="1">
      <c r="A108" s="48" t="inlineStr">
        <is>
          <t>ingress-nginx-controller</t>
        </is>
      </c>
      <c r="B108" s="32">
        <f>IF(B6="No",1,MIN(C108,MAX(Q7,3)))</f>
        <v/>
      </c>
      <c r="C108" s="13" t="n">
        <v>3</v>
      </c>
      <c r="D108" s="40" t="n">
        <v>0.5</v>
      </c>
      <c r="E108" s="40" t="n">
        <v>2</v>
      </c>
      <c r="F108" s="40" t="n">
        <v>0.5</v>
      </c>
      <c r="G108" s="40" t="n">
        <v>1</v>
      </c>
      <c r="H108" s="41">
        <f>B108*D108</f>
        <v>0.0</v>
      </c>
      <c r="I108" s="41">
        <f>B108*F108</f>
        <v>0.0</v>
      </c>
      <c r="J108" s="34" t="inlineStr">
        <is>
          <t>user</t>
        </is>
      </c>
      <c r="K108" s="34">
        <f>B23</f>
        <v>0.0</v>
      </c>
      <c r="L108" s="12" t="n">
        <v>1000</v>
      </c>
      <c r="M108" s="10" t="inlineStr">
        <is>
          <t>NGINX ingress controller</t>
        </is>
      </c>
    </row>
    <row r="109" ht="23" customHeight="1">
      <c r="A109" s="48" t="inlineStr">
        <is>
          <t>livekit</t>
        </is>
      </c>
      <c r="B109" s="32">
        <f>IF(B6="No",1,MIN(C109,MAX(Q7,2)))</f>
        <v/>
      </c>
      <c r="C109" s="13" t="n">
        <v>2</v>
      </c>
      <c r="D109" s="40" t="n">
        <v>0.1</v>
      </c>
      <c r="E109" s="40" t="n">
        <v>0.5</v>
      </c>
      <c r="F109" s="40" t="n">
        <v>0.125</v>
      </c>
      <c r="G109" s="40" t="n">
        <v>0.5</v>
      </c>
      <c r="H109" s="41">
        <f>B109*D109</f>
        <v>0.0</v>
      </c>
      <c r="I109" s="41">
        <f>B109*F109</f>
        <v>0.0</v>
      </c>
      <c r="J109" s="34" t="inlineStr">
        <is>
          <t>user</t>
        </is>
      </c>
      <c r="K109" s="34">
        <f>B23</f>
        <v>0.0</v>
      </c>
      <c r="L109" s="12" t="n">
        <v>100</v>
      </c>
      <c r="M109" s="10" t="inlineStr">
        <is>
          <t>WebRTC/voice server</t>
        </is>
      </c>
    </row>
    <row r="110" ht="23" customHeight="1">
      <c r="A110" s="48" t="inlineStr">
        <is>
          <t>minio</t>
        </is>
      </c>
      <c r="B110" s="32">
        <f>IF(B6="No",1,MIN(C110,MAX(Q7,2)))</f>
        <v/>
      </c>
      <c r="C110" s="13" t="n">
        <v>2</v>
      </c>
      <c r="D110" s="40" t="n">
        <v>0.1</v>
      </c>
      <c r="E110" s="40" t="n">
        <v>0.5</v>
      </c>
      <c r="F110" s="40" t="n">
        <v>0.25</v>
      </c>
      <c r="G110" s="40" t="n">
        <v>0.5</v>
      </c>
      <c r="H110" s="41">
        <f>B110*D110</f>
        <v>0.0</v>
      </c>
      <c r="I110" s="41">
        <f>B110*F110</f>
        <v>0.0</v>
      </c>
      <c r="J110" s="34" t="inlineStr">
        <is>
          <t>user</t>
        </is>
      </c>
      <c r="K110" s="34">
        <f>B23</f>
        <v>0.0</v>
      </c>
      <c r="L110" s="12" t="n">
        <v>500</v>
      </c>
      <c r="M110" s="10" t="inlineStr"/>
    </row>
    <row r="111" ht="23" customHeight="1">
      <c r="A111" s="48" t="inlineStr">
        <is>
          <t>multimodal-service</t>
        </is>
      </c>
      <c r="B111" s="32">
        <f>IF(B6="No",1,MIN(C111,MAX(Q7,2)))</f>
        <v/>
      </c>
      <c r="C111" s="13" t="n">
        <v>5</v>
      </c>
      <c r="D111" s="40" t="n">
        <v>0.5</v>
      </c>
      <c r="E111" s="40" t="n">
        <v>2</v>
      </c>
      <c r="F111" s="40" t="n">
        <v>1</v>
      </c>
      <c r="G111" s="40" t="n">
        <v>2</v>
      </c>
      <c r="H111" s="41">
        <f>B111*D111</f>
        <v>0.0</v>
      </c>
      <c r="I111" s="41">
        <f>B111*F111</f>
        <v>0.0</v>
      </c>
      <c r="J111" s="34" t="inlineStr">
        <is>
          <t>user</t>
        </is>
      </c>
      <c r="K111" s="34">
        <f>B23</f>
        <v>0.0</v>
      </c>
      <c r="L111" s="12" t="n">
        <v>10</v>
      </c>
      <c r="M111" s="10" t="inlineStr">
        <is>
          <t>Image/file processing</t>
        </is>
      </c>
    </row>
    <row r="112" ht="23" customHeight="1">
      <c r="A112" s="48" t="inlineStr">
        <is>
          <t>preprocessing</t>
        </is>
      </c>
      <c r="B112" s="32">
        <f>IF(B6="No",1,MIN(C112,MAX(Q7,2)))</f>
        <v/>
      </c>
      <c r="C112" s="13" t="n">
        <v>6</v>
      </c>
      <c r="D112" s="40" t="n">
        <v>0.5</v>
      </c>
      <c r="E112" s="40" t="n">
        <v>2</v>
      </c>
      <c r="F112" s="40" t="n">
        <v>2</v>
      </c>
      <c r="G112" s="40" t="n">
        <v>4</v>
      </c>
      <c r="H112" s="41">
        <f>B112*D112</f>
        <v>0.0</v>
      </c>
      <c r="I112" s="41">
        <f>B112*F112</f>
        <v>0.0</v>
      </c>
      <c r="J112" s="34" t="inlineStr">
        <is>
          <t>user</t>
        </is>
      </c>
      <c r="K112" s="34">
        <f>B23</f>
        <v>0.0</v>
      </c>
      <c r="L112" s="12" t="n">
        <v>5</v>
      </c>
      <c r="M112" s="10" t="inlineStr">
        <is>
          <t>Document chunking/OCR</t>
        </is>
      </c>
    </row>
    <row r="113" ht="23" customHeight="1">
      <c r="A113" s="48" t="inlineStr">
        <is>
          <t>restate-operator</t>
        </is>
      </c>
      <c r="B113" s="32">
        <f>IF(B6="No",1,MIN(C113,MAX(Q7,2)))</f>
        <v/>
      </c>
      <c r="C113" s="13" t="n">
        <v>2</v>
      </c>
      <c r="D113" s="40" t="n">
        <v>0.05</v>
      </c>
      <c r="E113" s="40" t="n">
        <v>0.2</v>
      </c>
      <c r="F113" s="40" t="n">
        <v>0.0976562</v>
      </c>
      <c r="G113" s="40" t="n">
        <v>0.25</v>
      </c>
      <c r="H113" s="41">
        <f>B113*D113</f>
        <v>0.0</v>
      </c>
      <c r="I113" s="41">
        <f>B113*F113</f>
        <v>0.0</v>
      </c>
      <c r="J113" s="34" t="inlineStr">
        <is>
          <t>user</t>
        </is>
      </c>
      <c r="K113" s="34">
        <f>B23</f>
        <v>0.0</v>
      </c>
      <c r="L113" s="12" t="n">
        <v>10</v>
      </c>
      <c r="M113" s="10" t="inlineStr"/>
    </row>
    <row r="114" ht="23" customHeight="1">
      <c r="A114" s="6" t="inlineStr">
        <is>
          <t xml:space="preserve">  GPU node context</t>
        </is>
      </c>
      <c r="J114" s="10" t="inlineStr">
        <is>
          <t>2 GPU services; GPU pods included in node-pool capacity cost</t>
        </is>
      </c>
      <c r="K114" s="23" t="n"/>
      <c r="L114" s="24" t="n"/>
      <c r="M114" s="33">
        <f>(B101+B106)*B36</f>
        <v>0.0</v>
      </c>
    </row>
    <row r="115" ht="10" customHeight="1"/>
    <row r="116" ht="24" customHeight="1">
      <c r="A116" s="49" t="inlineStr">
        <is>
          <t>OPERATORS (fixed)</t>
        </is>
      </c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7" t="n"/>
    </row>
    <row r="117" ht="24" customHeight="1">
      <c r="A117" s="5" t="inlineStr">
        <is>
          <t>Service</t>
        </is>
      </c>
      <c r="B117" s="5" t="inlineStr">
        <is>
          <t>Replicas</t>
        </is>
      </c>
      <c r="C117" s="5" t="inlineStr"/>
      <c r="D117" s="5" t="inlineStr">
        <is>
          <t>CPU Req</t>
        </is>
      </c>
      <c r="E117" s="5" t="inlineStr">
        <is>
          <t>CPU Lim</t>
        </is>
      </c>
      <c r="F117" s="5" t="inlineStr">
        <is>
          <t>Mem Req Gi</t>
        </is>
      </c>
      <c r="G117" s="5" t="inlineStr">
        <is>
          <t>Mem Lim Gi</t>
        </is>
      </c>
      <c r="H117" s="5" t="inlineStr">
        <is>
          <t>Total CPU</t>
        </is>
      </c>
      <c r="I117" s="5" t="inlineStr">
        <is>
          <t>Total Mem Gi</t>
        </is>
      </c>
      <c r="J117" s="5" t="inlineStr">
        <is>
          <t>Pool</t>
        </is>
      </c>
      <c r="K117" s="5" t="inlineStr">
        <is>
          <t>VM Type</t>
        </is>
      </c>
      <c r="L117" s="5" t="inlineStr">
        <is>
          <t>Throughput/pod</t>
        </is>
      </c>
      <c r="M117" s="5" t="inlineStr">
        <is>
          <t>Notes</t>
        </is>
      </c>
    </row>
    <row r="118" ht="23" customHeight="1">
      <c r="A118" s="48" t="inlineStr">
        <is>
          <t>external-secrets</t>
        </is>
      </c>
      <c r="B118" s="32">
        <f>IF(B6="No",1,MAX(Q7,2))</f>
        <v/>
      </c>
      <c r="D118" s="40" t="n">
        <v>0</v>
      </c>
      <c r="E118" s="40" t="n">
        <v>0</v>
      </c>
      <c r="F118" s="40" t="n">
        <v>0</v>
      </c>
      <c r="G118" s="40" t="n">
        <v>0</v>
      </c>
      <c r="H118" s="41">
        <f>B118*D118</f>
        <v>0.0</v>
      </c>
      <c r="I118" s="41">
        <f>B118*F118</f>
        <v>0.0</v>
      </c>
      <c r="J118" s="34" t="inlineStr">
        <is>
          <t>operator</t>
        </is>
      </c>
      <c r="K118" s="34">
        <f>B41</f>
        <v>0.0</v>
      </c>
      <c r="L118" s="12" t="n">
        <v>10</v>
      </c>
      <c r="M118" s="10" t="inlineStr">
        <is>
          <t>Secret sync from Azure KV</t>
        </is>
      </c>
    </row>
    <row r="119" ht="23" customHeight="1">
      <c r="A119" s="50" t="inlineStr">
        <is>
          <t>external-secrets-cert-controller</t>
        </is>
      </c>
      <c r="B119" s="32">
        <f>IF(B6="No",1,MAX(Q7,2))</f>
        <v/>
      </c>
      <c r="D119" s="40" t="n">
        <v>0</v>
      </c>
      <c r="E119" s="40" t="n">
        <v>0</v>
      </c>
      <c r="F119" s="40" t="n">
        <v>0</v>
      </c>
      <c r="G119" s="40" t="n">
        <v>0</v>
      </c>
      <c r="H119" s="41">
        <f>B119*D119</f>
        <v>0.0</v>
      </c>
      <c r="I119" s="41">
        <f>B119*F119</f>
        <v>0.0</v>
      </c>
      <c r="J119" s="34" t="inlineStr">
        <is>
          <t>operator</t>
        </is>
      </c>
      <c r="K119" s="34">
        <f>B41</f>
        <v>0.0</v>
      </c>
      <c r="L119" s="12" t="n">
        <v>10</v>
      </c>
      <c r="M119" s="10" t="inlineStr">
        <is>
          <t>Secret sync from Azure KV</t>
        </is>
      </c>
    </row>
    <row r="120" ht="23" customHeight="1">
      <c r="A120" s="48" t="inlineStr">
        <is>
          <t>external-secrets-webhook</t>
        </is>
      </c>
      <c r="B120" s="32">
        <f>IF(B6="No",1,MAX(Q7,2))</f>
        <v/>
      </c>
      <c r="D120" s="40" t="n">
        <v>0</v>
      </c>
      <c r="E120" s="40" t="n">
        <v>0</v>
      </c>
      <c r="F120" s="40" t="n">
        <v>0</v>
      </c>
      <c r="G120" s="40" t="n">
        <v>0</v>
      </c>
      <c r="H120" s="41">
        <f>B120*D120</f>
        <v>0.0</v>
      </c>
      <c r="I120" s="41">
        <f>B120*F120</f>
        <v>0.0</v>
      </c>
      <c r="J120" s="34" t="inlineStr">
        <is>
          <t>operator</t>
        </is>
      </c>
      <c r="K120" s="34">
        <f>B41</f>
        <v>0.0</v>
      </c>
      <c r="L120" s="12" t="n">
        <v>10</v>
      </c>
      <c r="M120" s="10" t="inlineStr">
        <is>
          <t>Secret sync from Azure KV</t>
        </is>
      </c>
    </row>
    <row r="121" ht="23" customHeight="1">
      <c r="A121" s="48" t="inlineStr">
        <is>
          <t>goldilocks-controller</t>
        </is>
      </c>
      <c r="B121" s="32">
        <f>IF(B6="No",1,MAX(Q7,2))</f>
        <v/>
      </c>
      <c r="D121" s="40" t="n">
        <v>0.025</v>
      </c>
      <c r="E121" s="40" t="n">
        <v>0.1</v>
      </c>
      <c r="F121" s="40" t="n">
        <v>0.0625</v>
      </c>
      <c r="G121" s="40" t="n">
        <v>0.125</v>
      </c>
      <c r="H121" s="41">
        <f>B121*D121</f>
        <v>0.0</v>
      </c>
      <c r="I121" s="41">
        <f>B121*F121</f>
        <v>0.0</v>
      </c>
      <c r="J121" s="34" t="inlineStr">
        <is>
          <t>operator</t>
        </is>
      </c>
      <c r="K121" s="34">
        <f>B41</f>
        <v>0.0</v>
      </c>
      <c r="L121" s="12" t="n">
        <v>10</v>
      </c>
      <c r="M121" s="10" t="inlineStr">
        <is>
          <t>VPA recommendations</t>
        </is>
      </c>
    </row>
    <row r="122" ht="23" customHeight="1">
      <c r="A122" s="48" t="inlineStr">
        <is>
          <t>goldilocks-dashboard</t>
        </is>
      </c>
      <c r="B122" s="32">
        <f>IF(B6="No",1,MAX(Q7,2))</f>
        <v/>
      </c>
      <c r="D122" s="40" t="n">
        <v>0.025</v>
      </c>
      <c r="E122" s="40" t="n">
        <v>0.1</v>
      </c>
      <c r="F122" s="40" t="n">
        <v>0.0625</v>
      </c>
      <c r="G122" s="40" t="n">
        <v>0.125</v>
      </c>
      <c r="H122" s="41">
        <f>B122*D122</f>
        <v>0.0</v>
      </c>
      <c r="I122" s="41">
        <f>B122*F122</f>
        <v>0.0</v>
      </c>
      <c r="J122" s="34" t="inlineStr">
        <is>
          <t>operator</t>
        </is>
      </c>
      <c r="K122" s="34">
        <f>B41</f>
        <v>0.0</v>
      </c>
      <c r="L122" s="12" t="n">
        <v>10</v>
      </c>
      <c r="M122" s="10" t="inlineStr">
        <is>
          <t>VPA recommendations</t>
        </is>
      </c>
    </row>
    <row r="123" ht="23" customHeight="1">
      <c r="A123" s="48" t="inlineStr">
        <is>
          <t>kafka-entity-operator</t>
        </is>
      </c>
      <c r="B123" s="32">
        <f>IF(B6="No",1,MAX(Q7,2))</f>
        <v/>
      </c>
      <c r="D123" s="40" t="n">
        <v>0.1</v>
      </c>
      <c r="E123" s="40" t="n">
        <v>0.5</v>
      </c>
      <c r="F123" s="40" t="n">
        <v>0.25</v>
      </c>
      <c r="G123" s="40" t="n">
        <v>0.5</v>
      </c>
      <c r="H123" s="41">
        <f>B123*D123</f>
        <v>0.0</v>
      </c>
      <c r="I123" s="41">
        <f>B123*F123</f>
        <v>0.0</v>
      </c>
      <c r="J123" s="34" t="inlineStr">
        <is>
          <t>operator</t>
        </is>
      </c>
      <c r="K123" s="34">
        <f>B41</f>
        <v>0.0</v>
      </c>
      <c r="L123" s="12" t="n">
        <v>1000</v>
      </c>
      <c r="M123" s="10" t="inlineStr">
        <is>
          <t>Kafka topic/user mgmt</t>
        </is>
      </c>
    </row>
    <row r="124" ht="23" customHeight="1">
      <c r="A124" s="48" t="inlineStr">
        <is>
          <t>mongodb-kubernetes-operator</t>
        </is>
      </c>
      <c r="B124" s="32">
        <f>IF(B6="No",1,MAX(Q7,2))</f>
        <v/>
      </c>
      <c r="D124" s="40" t="n">
        <v>0.5</v>
      </c>
      <c r="E124" s="40" t="n">
        <v>1.1</v>
      </c>
      <c r="F124" s="40" t="n">
        <v>0.195312</v>
      </c>
      <c r="G124" s="40" t="n">
        <v>1</v>
      </c>
      <c r="H124" s="41">
        <f>B124*D124</f>
        <v>0.0</v>
      </c>
      <c r="I124" s="41">
        <f>B124*F124</f>
        <v>0.0</v>
      </c>
      <c r="J124" s="34" t="inlineStr">
        <is>
          <t>operator</t>
        </is>
      </c>
      <c r="K124" s="34">
        <f>B41</f>
        <v>0.0</v>
      </c>
      <c r="L124" s="12" t="n">
        <v>1000</v>
      </c>
      <c r="M124" s="10" t="inlineStr">
        <is>
          <t>MongoDB operator</t>
        </is>
      </c>
    </row>
    <row r="125" ht="23" customHeight="1">
      <c r="A125" s="48" t="inlineStr">
        <is>
          <t>strimzi-cluster-operator</t>
        </is>
      </c>
      <c r="B125" s="32">
        <f>IF(B6="No",1,MAX(Q7,2))</f>
        <v/>
      </c>
      <c r="D125" s="40" t="n">
        <v>0.1</v>
      </c>
      <c r="E125" s="40" t="n">
        <v>0.5</v>
      </c>
      <c r="F125" s="40" t="n">
        <v>0.25</v>
      </c>
      <c r="G125" s="40" t="n">
        <v>0.5</v>
      </c>
      <c r="H125" s="41">
        <f>B125*D125</f>
        <v>0.0</v>
      </c>
      <c r="I125" s="41">
        <f>B125*F125</f>
        <v>0.0</v>
      </c>
      <c r="J125" s="34" t="inlineStr">
        <is>
          <t>operator</t>
        </is>
      </c>
      <c r="K125" s="34">
        <f>B41</f>
        <v>0.0</v>
      </c>
      <c r="L125" s="12" t="n">
        <v>10</v>
      </c>
      <c r="M125" s="10" t="inlineStr">
        <is>
          <t>Kafka operator</t>
        </is>
      </c>
    </row>
    <row r="126" ht="23" customHeight="1">
      <c r="A126" s="48" t="inlineStr">
        <is>
          <t>vpa-recommender</t>
        </is>
      </c>
      <c r="B126" s="32">
        <f>IF(B6="No",1,MAX(Q7,2))</f>
        <v/>
      </c>
      <c r="D126" s="40" t="n">
        <v>0.05</v>
      </c>
      <c r="E126" s="40" t="n">
        <v>0</v>
      </c>
      <c r="F126" s="40" t="n">
        <v>0.488281</v>
      </c>
      <c r="G126" s="40" t="n">
        <v>0</v>
      </c>
      <c r="H126" s="41">
        <f>B126*D126</f>
        <v>0.0</v>
      </c>
      <c r="I126" s="41">
        <f>B126*F126</f>
        <v>0.0</v>
      </c>
      <c r="J126" s="34" t="inlineStr">
        <is>
          <t>operator</t>
        </is>
      </c>
      <c r="K126" s="34">
        <f>B41</f>
        <v>0.0</v>
      </c>
      <c r="L126" s="12" t="n">
        <v>10</v>
      </c>
      <c r="M126" s="10" t="inlineStr"/>
    </row>
    <row r="127" ht="10" customHeight="1"/>
    <row r="128" ht="24" customHeight="1">
      <c r="A128" s="4" t="inlineStr">
        <is>
          <t>NODE POOLS</t>
        </is>
      </c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7" t="n"/>
    </row>
    <row r="129" ht="24" customHeight="1">
      <c r="A129" s="5" t="inlineStr">
        <is>
          <t>Pool</t>
        </is>
      </c>
      <c r="B129" s="5" t="inlineStr">
        <is>
          <t>VM Type</t>
        </is>
      </c>
      <c r="C129" s="5" t="inlineStr">
        <is>
          <t>CPU/node</t>
        </is>
      </c>
      <c r="D129" s="5" t="inlineStr">
        <is>
          <t>Mem/node Gi</t>
        </is>
      </c>
      <c r="E129" s="5" t="inlineStr">
        <is>
          <t>CPU Req</t>
        </is>
      </c>
      <c r="F129" s="5" t="inlineStr">
        <is>
          <t>Mem Req Gi</t>
        </is>
      </c>
      <c r="G129" s="5" t="inlineStr">
        <is>
          <t>Pod Nodes</t>
        </is>
      </c>
      <c r="H129" s="5" t="inlineStr">
        <is>
          <t>CPU Nodes</t>
        </is>
      </c>
      <c r="I129" s="5" t="inlineStr">
        <is>
          <t>Mem Nodes</t>
        </is>
      </c>
      <c r="J129" s="5" t="inlineStr">
        <is>
          <t>Req Nodes</t>
        </is>
      </c>
      <c r="K129" s="5" t="inlineStr">
        <is>
          <t>Unit $/mo</t>
        </is>
      </c>
      <c r="L129" s="5" t="inlineStr">
        <is>
          <t>Monthly $</t>
        </is>
      </c>
      <c r="M129" s="5" t="inlineStr">
        <is>
          <t>Notes</t>
        </is>
      </c>
    </row>
    <row r="130" ht="23" customHeight="1">
      <c r="A130" s="6" t="inlineStr">
        <is>
          <t>database (mongo)</t>
        </is>
      </c>
      <c r="B130" s="34">
        <f>B27</f>
        <v>0.0</v>
      </c>
      <c r="C130" s="51">
        <f>B28</f>
        <v>0.0</v>
      </c>
      <c r="D130" s="51">
        <f>B29</f>
        <v>0.0</v>
      </c>
      <c r="E130" s="41">
        <f>(B87*D87)+(B88*D88)</f>
        <v>0.0</v>
      </c>
      <c r="F130" s="41">
        <f>(B87*F87)+(B88*F88)</f>
        <v>0.0</v>
      </c>
      <c r="G130" s="42">
        <f>CEILING((B87+B88)/B22,1)</f>
        <v/>
      </c>
      <c r="H130" s="42">
        <f>IF(C130&gt;0,CEILING(E130/(C130*B21),1),0)</f>
        <v/>
      </c>
      <c r="I130" s="42">
        <f>IF(D130&gt;0,CEILING(F130/(D130*B21),1),0)</f>
        <v/>
      </c>
      <c r="J130" s="42">
        <f>IF(D51="Self-Hosted",B51,0)</f>
        <v/>
      </c>
      <c r="K130" s="52">
        <f>B30</f>
        <v>0.0</v>
      </c>
      <c r="L130" s="52">
        <f>J130*K130</f>
        <v>0.0</v>
      </c>
      <c r="M130" s="10" t="inlineStr">
        <is>
          <t>Dedicated MongoDB pool; 1 node per replica with headroom; Mongo node price (from selected VM)</t>
        </is>
      </c>
      <c r="N130" s="23" t="n"/>
      <c r="O130" s="23" t="n"/>
      <c r="P130" s="23" t="n"/>
      <c r="Q130" s="23" t="n"/>
      <c r="R130" s="24" t="n"/>
    </row>
    <row r="131" ht="23" customHeight="1">
      <c r="A131" s="6" t="inlineStr">
        <is>
          <t>database (non-mongo)</t>
        </is>
      </c>
      <c r="B131" s="34">
        <f>B31</f>
        <v>0.0</v>
      </c>
      <c r="C131" s="51">
        <f>B32</f>
        <v>0.0</v>
      </c>
      <c r="D131" s="51">
        <f>B33</f>
        <v>0.0</v>
      </c>
      <c r="E131" s="41">
        <f>(B89*D89)+(B90*D90)+(B91*D91)+(B92*D92)+(B93*D93)</f>
        <v>0.0</v>
      </c>
      <c r="F131" s="41">
        <f>(B89*F89)+(B90*F90)+(B91*F91)+(B92*F92)+(B93*F93)</f>
        <v>0.0</v>
      </c>
      <c r="G131" s="42">
        <f>CEILING((B89+B90+B91+B92+B93)/B22,1)</f>
        <v/>
      </c>
      <c r="H131" s="42">
        <f>IF(C131&gt;0,CEILING(E131/(C131*B21),1),0)</f>
        <v/>
      </c>
      <c r="I131" s="42">
        <f>IF(D131&gt;0,CEILING(F131/(D131*B21),1),0)</f>
        <v/>
      </c>
      <c r="J131" s="42">
        <f>IF(B6="No",MAX(1,G131,H131,I131),MAX(Q7,G131,H131,I131))</f>
        <v/>
      </c>
      <c r="K131" s="52">
        <f>B34</f>
        <v>0.0</v>
      </c>
      <c r="L131" s="52">
        <f>J131*K131</f>
        <v>0.0</v>
      </c>
      <c r="M131" s="10" t="inlineStr">
        <is>
          <t>Redis/OpenSearch/Neo4j/RocksDB; zone-aware min nodes; Database node price (from selected VM)</t>
        </is>
      </c>
      <c r="N131" s="23" t="n"/>
      <c r="O131" s="23" t="n"/>
      <c r="P131" s="23" t="n"/>
      <c r="Q131" s="23" t="n"/>
      <c r="R131" s="24" t="n"/>
    </row>
    <row r="132" ht="23" customHeight="1">
      <c r="A132" s="6" t="inlineStr">
        <is>
          <t>gpu</t>
        </is>
      </c>
      <c r="B132" s="34">
        <f>B35</f>
        <v>0.0</v>
      </c>
      <c r="C132" s="51" t="n">
        <v>4</v>
      </c>
      <c r="D132" s="51">
        <f>IF($B$5="AWS",16,IF($B$5="GCP",15,28))</f>
        <v/>
      </c>
      <c r="E132" s="41">
        <f>(B101*D101)+(B106*D106)</f>
        <v>0.0</v>
      </c>
      <c r="F132" s="41">
        <f>(B101*F101)+(B106*F106)</f>
        <v>0.0</v>
      </c>
      <c r="G132" s="42">
        <f>CEILING((B101+B106)/B22,1)</f>
        <v/>
      </c>
      <c r="H132" s="42">
        <f>IF(C132&gt;0,CEILING(E132/(C132*B21),1),0)</f>
        <v/>
      </c>
      <c r="I132" s="42">
        <f>IF(D132&gt;0,CEILING(F132/(D132*B21),1),0)</f>
        <v/>
      </c>
      <c r="J132" s="42">
        <f>IF(G132=0,0,IF(B6="No",MAX(1,G132,H132,I132),MAX(Q7,G132,H132,I132)))</f>
        <v/>
      </c>
      <c r="K132" s="52">
        <f>B36</f>
        <v>0.0</v>
      </c>
      <c r="L132" s="52">
        <f>J132*K132</f>
        <v>0.0</v>
      </c>
      <c r="M132" s="10" t="inlineStr">
        <is>
          <t>T4 GPU nodes (1 pod/node); zone-aware min nodes; GPU node price</t>
        </is>
      </c>
      <c r="N132" s="23" t="n"/>
      <c r="O132" s="23" t="n"/>
      <c r="P132" s="23" t="n"/>
      <c r="Q132" s="23" t="n"/>
      <c r="R132" s="24" t="n"/>
    </row>
    <row r="133" ht="23" customHeight="1">
      <c r="A133" s="6" t="inlineStr">
        <is>
          <t>operator</t>
        </is>
      </c>
      <c r="B133" s="34">
        <f>B41</f>
        <v>0.0</v>
      </c>
      <c r="C133" s="51">
        <f>B42</f>
        <v>0.0</v>
      </c>
      <c r="D133" s="51">
        <f>B43</f>
        <v>0.0</v>
      </c>
      <c r="E133" s="41">
        <f>(B118*D118)+(B119*D119)+(B120*D120)+(B121*D121)+(B122*D122)+(B123*D123)+(B124*D124)+(B125*D125)+(B126*D126)</f>
        <v>0.0</v>
      </c>
      <c r="F133" s="41">
        <f>(B118*F118)+(B119*F119)+(B120*F120)+(B121*F121)+(B122*F122)+(B123*F123)+(B124*F124)+(B125*F125)+(B126*F126)</f>
        <v>0.0</v>
      </c>
      <c r="G133" s="42">
        <f>CEILING((B118+B119+B120+B121+B122+B123+B124+B125+B126)/B22,1)</f>
        <v/>
      </c>
      <c r="H133" s="42">
        <f>IF(C133&gt;0,CEILING(E133/(C133*B21),1),0)</f>
        <v/>
      </c>
      <c r="I133" s="42">
        <f>IF(D133&gt;0,CEILING(F133/(D133*B21),1),0)</f>
        <v/>
      </c>
      <c r="J133" s="42">
        <f>IF(B6="No",MAX(1,G133,H133,I133),MAX(Q7,G133,H133,I133))</f>
        <v/>
      </c>
      <c r="K133" s="52">
        <f>B44</f>
        <v>0.0</v>
      </c>
      <c r="L133" s="52">
        <f>J133*K133</f>
        <v>0.0</v>
      </c>
      <c r="M133" s="10" t="inlineStr">
        <is>
          <t>Small VMs for controllers/operators; zone-spread; Operator node price (from selected VM)</t>
        </is>
      </c>
      <c r="N133" s="23" t="n"/>
      <c r="O133" s="23" t="n"/>
      <c r="P133" s="23" t="n"/>
      <c r="Q133" s="23" t="n"/>
      <c r="R133" s="24" t="n"/>
    </row>
    <row r="134" ht="23" customHeight="1">
      <c r="A134" s="6" t="inlineStr">
        <is>
          <t>system</t>
        </is>
      </c>
      <c r="B134" s="34">
        <f>B37</f>
        <v>0.0</v>
      </c>
      <c r="C134" s="51">
        <f>B38</f>
        <v>0.0</v>
      </c>
      <c r="D134" s="51">
        <f>B39</f>
        <v>0.0</v>
      </c>
      <c r="E134" s="41">
        <f>(B84*D84)+(B85*D85)</f>
        <v>0.0</v>
      </c>
      <c r="F134" s="41">
        <f>(B84*F84)+(B85*F85)</f>
        <v>0.0</v>
      </c>
      <c r="G134" s="42">
        <f>CEILING((B84+B85)/B22,1)</f>
        <v/>
      </c>
      <c r="H134" s="42">
        <f>IF(C134&gt;0,CEILING(E134/(C134*B21),1),0)</f>
        <v/>
      </c>
      <c r="I134" s="42">
        <f>IF(D134&gt;0,CEILING(F134/(D134*B21),1),0)</f>
        <v/>
      </c>
      <c r="J134" s="42">
        <f>IF(B6="No",MAX(1,G134,H134,I134),MAX(Q7,G134,H134,I134))</f>
        <v/>
      </c>
      <c r="K134" s="52">
        <f>B40</f>
        <v>0.0</v>
      </c>
      <c r="L134" s="52">
        <f>J134*K134</f>
        <v>0.0</v>
      </c>
      <c r="M134" s="10" t="inlineStr">
        <is>
          <t>ClickHouse + Kafka; zone-aware min nodes; System node price (from selected VM)</t>
        </is>
      </c>
      <c r="N134" s="23" t="n"/>
      <c r="O134" s="23" t="n"/>
      <c r="P134" s="23" t="n"/>
      <c r="Q134" s="23" t="n"/>
      <c r="R134" s="24" t="n"/>
    </row>
    <row r="135" ht="23" customHeight="1">
      <c r="A135" s="6" t="inlineStr">
        <is>
          <t>user</t>
        </is>
      </c>
      <c r="B135" s="34">
        <f>B23</f>
        <v>0.0</v>
      </c>
      <c r="C135" s="51">
        <f>B24</f>
        <v>0.0</v>
      </c>
      <c r="D135" s="51">
        <f>B25</f>
        <v>0.0</v>
      </c>
      <c r="E135" s="41">
        <f>(B62*D62)+(B63*D63)+(B64*D64)+(B68*D68)+(B69*D69)+(B73*D73)+(B74*D74)+(B78*D78)+(B79*D79)+(B80*D80)+(B86*D86)+(B102*D102)+(B103*D103)+(B104*D104)+(B105*D105)+(B107*D107)+(B108*D108)+(B109*D109)+(B110*D110)+(B111*D111)+(B112*D112)+(B113*D113)</f>
        <v>0.0</v>
      </c>
      <c r="F135" s="41">
        <f>(B62*F62)+(B63*F63)+(B64*F64)+(B68*F68)+(B69*F69)+(B73*F73)+(B74*F74)+(B78*F78)+(B79*F79)+(B80*F80)+(B86*F86)+(B102*F102)+(B103*F103)+(B104*F104)+(B105*F105)+(B107*F107)+(B108*F108)+(B109*F109)+(B110*F110)+(B111*F111)+(B112*F112)+(B113*F113)</f>
        <v>0.0</v>
      </c>
      <c r="G135" s="42">
        <f>CEILING((B62+B63+B64+B68+B69+B73+B74+B78+B79+B80+B86+B102+B103+B104+B105+B107+B108+B109+B110+B111+B112+B113)/B22,1)</f>
        <v/>
      </c>
      <c r="H135" s="42">
        <f>IF(C135&gt;0,CEILING(E135/(C135*B21),1),0)</f>
        <v/>
      </c>
      <c r="I135" s="42">
        <f>IF(D135&gt;0,CEILING(F135/(D135*B21),1),0)</f>
        <v/>
      </c>
      <c r="J135" s="42">
        <f>IF(B6="No",MAX(1,G135,H135,I135),MAX(Q7,G135,H135,I135))</f>
        <v/>
      </c>
      <c r="K135" s="52">
        <f>B26</f>
        <v>0.0</v>
      </c>
      <c r="L135" s="52">
        <f>J135*K135</f>
        <v>0.0</v>
      </c>
      <c r="M135" s="10" t="inlineStr">
        <is>
          <t>App workloads; zone-aware min nodes; User node price (from selected VM)</t>
        </is>
      </c>
      <c r="N135" s="23" t="n"/>
      <c r="O135" s="23" t="n"/>
      <c r="P135" s="23" t="n"/>
      <c r="Q135" s="23" t="n"/>
      <c r="R135" s="24" t="n"/>
    </row>
    <row r="136" ht="23" customHeight="1">
      <c r="A136" s="6" t="inlineStr">
        <is>
          <t xml:space="preserve">  Total node pool cost</t>
        </is>
      </c>
      <c r="J136" s="42">
        <f>SUM(J130,J131,J132,J133,J134,J135)</f>
        <v/>
      </c>
      <c r="L136" s="52">
        <f>L130+L131+L132+L133+L134+L135</f>
        <v>0.0</v>
      </c>
      <c r="M136" s="10" t="inlineStr">
        <is>
          <t>Source of truth for workload hardware in grand total</t>
        </is>
      </c>
      <c r="N136" s="23" t="n"/>
      <c r="O136" s="23" t="n"/>
      <c r="P136" s="23" t="n"/>
      <c r="Q136" s="23" t="n"/>
      <c r="R136" s="24" t="n"/>
    </row>
    <row r="137" ht="10" customHeight="1"/>
    <row r="138" ht="24" customHeight="1">
      <c r="A138" s="4" t="inlineStr">
        <is>
          <t>FIXED INFRASTRUCTURE COSTS</t>
        </is>
      </c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7" t="n"/>
    </row>
    <row r="139" ht="24" customHeight="1">
      <c r="A139" s="5" t="inlineStr">
        <is>
          <t>Item</t>
        </is>
      </c>
      <c r="B139" s="5" t="inlineStr">
        <is>
          <t>SKU / Basis</t>
        </is>
      </c>
      <c r="C139" s="5" t="inlineStr">
        <is>
          <t>Qty</t>
        </is>
      </c>
      <c r="D139" s="5" t="inlineStr">
        <is>
          <t>Unit $/mo</t>
        </is>
      </c>
      <c r="E139" s="5" t="inlineStr">
        <is>
          <t>Monthly $</t>
        </is>
      </c>
      <c r="F139" s="5" t="inlineStr">
        <is>
          <t>Notes</t>
        </is>
      </c>
      <c r="G139" s="5" t="inlineStr"/>
      <c r="H139" s="5" t="inlineStr"/>
      <c r="I139" s="5" t="inlineStr"/>
      <c r="J139" s="5" t="inlineStr"/>
      <c r="K139" s="5" t="inlineStr"/>
      <c r="L139" s="5" t="inlineStr"/>
    </row>
    <row r="140" ht="23" customHeight="1">
      <c r="A140" s="11" t="inlineStr">
        <is>
          <t>LoadBalancer / WAF / Advanced Shield</t>
        </is>
      </c>
      <c r="B140" s="34">
        <f>IF($B$5="AWS","ALB + AWS WAF + Shield Advanced",IF($B$5="GCP","Cloud LB + Cloud Armor + DDoS","Application Gateway WAF v2 + DDoS Protection"))</f>
        <v/>
      </c>
      <c r="C140" s="53" t="n">
        <v>1</v>
      </c>
      <c r="D140" s="54" t="n">
        <v>3500</v>
      </c>
      <c r="E140" s="52">
        <f>C140*D140</f>
        <v>3500.0</v>
      </c>
      <c r="F140" s="10" t="inlineStr">
        <is>
          <t>LB + WAF + Advanced Shield combined; editable</t>
        </is>
      </c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4" t="n"/>
    </row>
    <row r="141" ht="23" customHeight="1">
      <c r="A141" s="6" t="inlineStr">
        <is>
          <t>Object Storage</t>
        </is>
      </c>
      <c r="B141" s="34">
        <f>IF($B$5="AWS","S3 Standard / external object store",IF($B$5="GCP","GCS Standard / external object store","Blob Hot LRS / external object store"))</f>
        <v/>
      </c>
      <c r="C141" s="42">
        <f>B47*1099.51</f>
        <v>21990.2</v>
      </c>
      <c r="D141" s="52">
        <f>B48</f>
        <v>0.0</v>
      </c>
      <c r="E141" s="52">
        <f>C141*D141</f>
        <v>0.0</v>
      </c>
      <c r="F141" s="10" t="inlineStr">
        <is>
          <t>Editable TiB → GB (1 TiB = 1099.51 GB); provider $/GB-month from CSP selector</t>
        </is>
      </c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4" t="n"/>
    </row>
    <row r="142" ht="23" customHeight="1">
      <c r="A142" s="6" t="inlineStr">
        <is>
          <t>Block Storage</t>
        </is>
      </c>
      <c r="B142" s="34">
        <f>IF($B$5="AWS","EBS gp3 128 GiB supplemental",IF($B$5="GCP","PD-SSD 128 GiB supplemental","P10 ZRS supplemental"))</f>
        <v/>
      </c>
      <c r="C142" s="53" t="n">
        <v>1</v>
      </c>
      <c r="D142" s="52">
        <f>IF($B$5="AWS",10,IF($B$5="GCP",22,31))</f>
        <v/>
      </c>
      <c r="E142" s="52">
        <f>C142*D142</f>
        <v>0.0</v>
      </c>
      <c r="F142" s="10" t="inlineStr">
        <is>
          <t>Additional managed disk outside service PVCs</t>
        </is>
      </c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4" t="n"/>
    </row>
    <row r="143" ht="23" customHeight="1">
      <c r="A143" s="6" t="inlineStr">
        <is>
          <t>Container Registry</t>
        </is>
      </c>
      <c r="B143" s="34">
        <f>IF($B$5="AWS","ECR private registry baseline",IF($B$5="GCP","Artifact Registry baseline","ACR Premium registry unit"))</f>
        <v/>
      </c>
      <c r="C143" s="53" t="n">
        <v>1</v>
      </c>
      <c r="D143" s="52">
        <f>IF($B$5="AWS",10,IF($B$5="GCP",10,50))</f>
        <v/>
      </c>
      <c r="E143" s="52">
        <f>C143*D143</f>
        <v>0.0</v>
      </c>
      <c r="F143" s="10" t="inlineStr">
        <is>
          <t>Provider container registry baseline</t>
        </is>
      </c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4" t="n"/>
    </row>
    <row r="144" ht="23" customHeight="1">
      <c r="A144" s="6" t="inlineStr">
        <is>
          <t xml:space="preserve">  Fixed infrastructure cost</t>
        </is>
      </c>
      <c r="E144" s="52">
        <f>E140+E141+E142+E143</f>
        <v>3500.0</v>
      </c>
    </row>
    <row r="145" ht="10" customHeight="1"/>
    <row r="146" ht="23" customHeight="1">
      <c r="A146" s="22" t="inlineStr">
        <is>
          <t>PVC STORAGE COSTS (per-node disk × replicas)</t>
        </is>
      </c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4" t="n"/>
    </row>
    <row r="147" ht="23" customHeight="1">
      <c r="A147" s="4" t="inlineStr">
        <is>
          <t>Data Store</t>
        </is>
      </c>
      <c r="B147" s="5" t="inlineStr">
        <is>
          <t>Disk/Node GiB</t>
        </is>
      </c>
      <c r="C147" s="5" t="inlineStr">
        <is>
          <t>Replicas</t>
        </is>
      </c>
      <c r="D147" s="5" t="inlineStr">
        <is>
          <t>Total GiB</t>
        </is>
      </c>
      <c r="E147" s="5" t="inlineStr">
        <is>
          <t>$/GiB-month</t>
        </is>
      </c>
      <c r="F147" s="18" t="inlineStr">
        <is>
          <t>Monthly $</t>
        </is>
      </c>
      <c r="G147" s="5" t="inlineStr">
        <is>
          <t>Notes</t>
        </is>
      </c>
      <c r="H147" s="5" t="inlineStr"/>
      <c r="I147" s="5" t="inlineStr"/>
      <c r="J147" s="5" t="inlineStr"/>
      <c r="K147" s="5" t="inlineStr"/>
      <c r="L147" s="5" t="inlineStr"/>
    </row>
    <row r="148" ht="23" customHeight="1">
      <c r="A148" s="6" t="inlineStr">
        <is>
          <t>MongoDB</t>
        </is>
      </c>
      <c r="B148" s="42">
        <f>C51</f>
        <v>0.0</v>
      </c>
      <c r="C148" s="42">
        <f>IF(D51="Self-Hosted",B51,0)</f>
        <v/>
      </c>
      <c r="D148" s="55">
        <f>B148*C148</f>
        <v>0.0</v>
      </c>
      <c r="E148" s="36">
        <f>B49</f>
        <v>0.0</v>
      </c>
      <c r="F148" s="52">
        <f>D148*E148</f>
        <v>0.0</v>
      </c>
      <c r="G148" s="10" t="inlineStr">
        <is>
          <t>Data + indexes + oplog + headroom (self-host only)</t>
        </is>
      </c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4" t="n"/>
    </row>
    <row r="149" ht="23" customHeight="1">
      <c r="A149" s="6" t="inlineStr">
        <is>
          <t>OpenSearch</t>
        </is>
      </c>
      <c r="B149" s="42">
        <f>C52</f>
        <v>0.0</v>
      </c>
      <c r="C149" s="42">
        <f>IF(D52="Self-Hosted",B52,0)</f>
        <v/>
      </c>
      <c r="D149" s="55">
        <f>B149*C149</f>
        <v>0.0</v>
      </c>
      <c r="E149" s="36">
        <f>B49</f>
        <v>0.0</v>
      </c>
      <c r="F149" s="52">
        <f>D149*E149</f>
        <v>0.0</v>
      </c>
      <c r="G149" s="10" t="inlineStr">
        <is>
          <t>Indices + segment merge headroom (self-host only)</t>
        </is>
      </c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4" t="n"/>
    </row>
    <row r="150" ht="23" customHeight="1">
      <c r="A150" s="6" t="inlineStr">
        <is>
          <t>Neo4j</t>
        </is>
      </c>
      <c r="B150" s="42">
        <f>C53</f>
        <v>0.0</v>
      </c>
      <c r="C150" s="42">
        <f>IF(D53="Self-Hosted",B53,0)</f>
        <v/>
      </c>
      <c r="D150" s="55">
        <f>B150*C150</f>
        <v>0.0</v>
      </c>
      <c r="E150" s="36">
        <f>B49</f>
        <v>0.0</v>
      </c>
      <c r="F150" s="52">
        <f>D150*E150</f>
        <v>0.0</v>
      </c>
      <c r="G150" s="10" t="inlineStr">
        <is>
          <t>Graph store + transaction logs (self-host only)</t>
        </is>
      </c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4" t="n"/>
    </row>
    <row r="151" ht="23" customHeight="1">
      <c r="A151" s="6" t="inlineStr">
        <is>
          <t>Redis</t>
        </is>
      </c>
      <c r="B151" s="42">
        <f>C54</f>
        <v>0.0</v>
      </c>
      <c r="C151" s="42">
        <f>IF(D54="Self-Hosted",B54,0)</f>
        <v/>
      </c>
      <c r="D151" s="55">
        <f>B151*C151</f>
        <v>0.0</v>
      </c>
      <c r="E151" s="36">
        <f>B49</f>
        <v>0.0</v>
      </c>
      <c r="F151" s="52">
        <f>D151*E151</f>
        <v>0.0</v>
      </c>
      <c r="G151" s="10" t="inlineStr">
        <is>
          <t>AOF persistence + RDB snapshots (self-host only)</t>
        </is>
      </c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4" t="n"/>
    </row>
    <row r="152" ht="23" customHeight="1">
      <c r="A152" s="6" t="inlineStr">
        <is>
          <t>ClickHouse</t>
        </is>
      </c>
      <c r="B152" s="42">
        <f>C55</f>
        <v>0.0</v>
      </c>
      <c r="C152" s="42">
        <f>IF(D55="Self-Hosted",B55,0)</f>
        <v/>
      </c>
      <c r="D152" s="55">
        <f>B152*C152</f>
        <v>0.0</v>
      </c>
      <c r="E152" s="36">
        <f>B49</f>
        <v>0.0</v>
      </c>
      <c r="F152" s="52">
        <f>D152*E152</f>
        <v>0.0</v>
      </c>
      <c r="G152" s="10" t="inlineStr">
        <is>
          <t>Column store + merge tree parts (self-host only)</t>
        </is>
      </c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4" t="n"/>
    </row>
    <row r="153" ht="23" customHeight="1">
      <c r="A153" s="6" t="inlineStr">
        <is>
          <t>Kafka</t>
        </is>
      </c>
      <c r="B153" s="42">
        <f>C56</f>
        <v>0.0</v>
      </c>
      <c r="C153" s="42">
        <f>IF(D56="Self-Hosted",B56,0)</f>
        <v/>
      </c>
      <c r="D153" s="55">
        <f>B153*C153</f>
        <v>0.0</v>
      </c>
      <c r="E153" s="36">
        <f>B49</f>
        <v>0.0</v>
      </c>
      <c r="F153" s="52">
        <f>D153*E153</f>
        <v>0.0</v>
      </c>
      <c r="G153" s="10" t="inlineStr">
        <is>
          <t>Log segments + retention window (self-host only)</t>
        </is>
      </c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4" t="n"/>
    </row>
    <row r="154" ht="23" customHeight="1">
      <c r="A154" s="6" t="inlineStr">
        <is>
          <t>RocksDB</t>
        </is>
      </c>
      <c r="B154" s="42">
        <f>C57</f>
        <v>0.0</v>
      </c>
      <c r="C154" s="42">
        <f>IF(D57="Self-Hosted",B57,0)</f>
        <v/>
      </c>
      <c r="D154" s="55">
        <f>B154*C154</f>
        <v>0.0</v>
      </c>
      <c r="E154" s="36">
        <f>B49</f>
        <v>0.0</v>
      </c>
      <c r="F154" s="52">
        <f>D154*E154</f>
        <v>0.0</v>
      </c>
      <c r="G154" s="10" t="inlineStr">
        <is>
          <t>Embedded KV store data (self-host only)</t>
        </is>
      </c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4" t="n"/>
    </row>
    <row r="155" ht="23" customHeight="1">
      <c r="A155" s="6" t="inlineStr">
        <is>
          <t xml:space="preserve">  PVC storage cost</t>
        </is>
      </c>
      <c r="F155" s="52">
        <f>F148+F149+F150+F151+F152+F153+F154</f>
        <v>0.0</v>
      </c>
      <c r="G155" s="10" t="inlineStr">
        <is>
          <t>Total monthly block storage for all data store PVCs</t>
        </is>
      </c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4" t="n"/>
    </row>
    <row r="156" ht="10" customHeight="1"/>
    <row r="157" ht="24" customHeight="1">
      <c r="A157" s="4" t="inlineStr">
        <is>
          <t>SOFTWARE / LICENSING COSTS</t>
        </is>
      </c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7" t="n"/>
    </row>
    <row r="158" ht="24" customHeight="1">
      <c r="A158" s="5" t="inlineStr">
        <is>
          <t>Component</t>
        </is>
      </c>
      <c r="B158" s="5" t="inlineStr">
        <is>
          <t>Basis</t>
        </is>
      </c>
      <c r="C158" s="5" t="inlineStr">
        <is>
          <t>Qty</t>
        </is>
      </c>
      <c r="D158" s="5" t="inlineStr">
        <is>
          <t>Monthly Unit $</t>
        </is>
      </c>
      <c r="E158" s="5" t="inlineStr">
        <is>
          <t>Monthly $</t>
        </is>
      </c>
      <c r="F158" s="5" t="inlineStr">
        <is>
          <t>Notes</t>
        </is>
      </c>
      <c r="G158" s="5" t="inlineStr"/>
      <c r="H158" s="5" t="inlineStr"/>
      <c r="I158" s="5" t="inlineStr"/>
      <c r="J158" s="5" t="inlineStr"/>
    </row>
    <row r="159" ht="23" customHeight="1">
      <c r="A159" s="6" t="inlineStr">
        <is>
          <t>MongoDB</t>
        </is>
      </c>
      <c r="B159" s="34" t="inlineStr">
        <is>
          <t>instances purchased</t>
        </is>
      </c>
      <c r="C159" s="42">
        <f>IF(D51="Enterprise",MAX(1,B51),0)</f>
        <v/>
      </c>
      <c r="D159" s="54" t="n">
        <v>1800</v>
      </c>
      <c r="E159" s="52">
        <f>C159*D159</f>
        <v>0.0</v>
      </c>
      <c r="F159" s="10" t="inlineStr">
        <is>
          <t>Monthly $/instance; charged only for Enterprise SaaS (e.g. Atlas); Self-Hosted/N/A → 0</t>
        </is>
      </c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4" t="n"/>
    </row>
    <row r="160" ht="23" customHeight="1">
      <c r="A160" s="6" t="inlineStr">
        <is>
          <t>Redis</t>
        </is>
      </c>
      <c r="B160" s="34" t="inlineStr">
        <is>
          <t>instances purchased</t>
        </is>
      </c>
      <c r="C160" s="42">
        <f>IF(D54="Enterprise",MAX(1,B54),0)</f>
        <v/>
      </c>
      <c r="D160" s="54" t="n">
        <v>410</v>
      </c>
      <c r="E160" s="52">
        <f>C160*D160</f>
        <v>0.0</v>
      </c>
      <c r="F160" s="10" t="inlineStr">
        <is>
          <t>Monthly $/instance; charged only for Enterprise SaaS (e.g. Redis Cloud); Self-Hosted/N/A → 0</t>
        </is>
      </c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4" t="n"/>
    </row>
    <row r="161" ht="23" customHeight="1">
      <c r="A161" s="6" t="inlineStr">
        <is>
          <t>ClickHouse</t>
        </is>
      </c>
      <c r="B161" s="34" t="inlineStr">
        <is>
          <t>instances purchased</t>
        </is>
      </c>
      <c r="C161" s="42">
        <f>IF(D55="Enterprise",MAX(1,B55),0)</f>
        <v/>
      </c>
      <c r="D161" s="54" t="n">
        <v>0</v>
      </c>
      <c r="E161" s="52">
        <f>C161*D161</f>
        <v>0.0</v>
      </c>
      <c r="F161" s="10" t="inlineStr">
        <is>
          <t>Monthly $/instance; charged only for Enterprise SaaS (e.g. ClickHouse Cloud); Self-Hosted/N/A → 0</t>
        </is>
      </c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4" t="n"/>
    </row>
    <row r="162" ht="23" customHeight="1">
      <c r="A162" s="6" t="inlineStr">
        <is>
          <t>Kafka</t>
        </is>
      </c>
      <c r="B162" s="34" t="inlineStr">
        <is>
          <t>instances purchased</t>
        </is>
      </c>
      <c r="C162" s="42">
        <f>IF(D56="Enterprise",MAX(1,B56),0)</f>
        <v/>
      </c>
      <c r="D162" s="54" t="n">
        <v>0</v>
      </c>
      <c r="E162" s="52">
        <f>C162*D162</f>
        <v>0.0</v>
      </c>
      <c r="F162" s="10" t="inlineStr">
        <is>
          <t>Monthly $/instance; charged only for Enterprise SaaS (e.g. Confluent Cloud); Self-Hosted/N/A → 0</t>
        </is>
      </c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4" t="n"/>
    </row>
    <row r="163" ht="23" customHeight="1">
      <c r="A163" s="6" t="inlineStr">
        <is>
          <t>Groundcover</t>
        </is>
      </c>
      <c r="B163" s="34" t="inlineStr">
        <is>
          <t>per base node</t>
        </is>
      </c>
      <c r="C163" s="42">
        <f>J136</f>
        <v>0.0</v>
      </c>
      <c r="D163" s="54" t="n">
        <v>17</v>
      </c>
      <c r="E163" s="52">
        <f>C163*D163</f>
        <v>0.0</v>
      </c>
      <c r="F163" s="10" t="inlineStr">
        <is>
          <t>Groundcover monitoring agent $17/node-month</t>
        </is>
      </c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4" t="n"/>
    </row>
    <row r="164" ht="23" customHeight="1">
      <c r="A164" s="6" t="inlineStr">
        <is>
          <t>CrowdStrike</t>
        </is>
      </c>
      <c r="B164" s="34" t="inlineStr">
        <is>
          <t>per base node</t>
        </is>
      </c>
      <c r="C164" s="42">
        <f>J136</f>
        <v>0.0</v>
      </c>
      <c r="D164" s="54" t="n">
        <v>10</v>
      </c>
      <c r="E164" s="52">
        <f>C164*D164</f>
        <v>0.0</v>
      </c>
      <c r="F164" s="10" t="inlineStr">
        <is>
          <t>CrowdStrike Falcon agent $10/node-month; editable</t>
        </is>
      </c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4" t="n"/>
    </row>
    <row r="165" ht="23" customHeight="1">
      <c r="A165" s="6" t="inlineStr">
        <is>
          <t xml:space="preserve">  Software/licensing cost</t>
        </is>
      </c>
      <c r="E165" s="52">
        <f>E159+E160+E161+E162+E163+E164</f>
        <v>0.0</v>
      </c>
    </row>
    <row r="166" ht="10" customHeight="1"/>
    <row r="167" ht="24" customHeight="1">
      <c r="A167" s="4" t="inlineStr">
        <is>
          <t>TOTAL COST SUMMARY</t>
        </is>
      </c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7" t="n"/>
    </row>
    <row r="168" ht="24" customHeight="1">
      <c r="A168" s="5" t="inlineStr">
        <is>
          <t>Cost Bucket</t>
        </is>
      </c>
      <c r="B168" s="5" t="inlineStr">
        <is>
          <t>Monthly $</t>
        </is>
      </c>
      <c r="C168" s="5" t="inlineStr">
        <is>
          <t>Yearly $</t>
        </is>
      </c>
      <c r="D168" s="5" t="inlineStr">
        <is>
          <t>Included in Total</t>
        </is>
      </c>
      <c r="E168" s="5" t="inlineStr">
        <is>
          <t>Notes</t>
        </is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</row>
    <row r="169" ht="23" customHeight="1">
      <c r="A169" s="48" t="inlineStr">
        <is>
          <t>Node pool MSRP</t>
        </is>
      </c>
      <c r="B169" s="52">
        <f>L136</f>
        <v>0.0</v>
      </c>
      <c r="C169" s="52">
        <f>B169*12</f>
        <v>0.0</v>
      </c>
      <c r="D169" s="34" t="inlineStr">
        <is>
          <t>No</t>
        </is>
      </c>
      <c r="E169" s="10" t="inlineStr">
        <is>
          <t>Reference before discount</t>
        </is>
      </c>
    </row>
    <row r="170" ht="23" customHeight="1">
      <c r="A170" s="48" t="inlineStr">
        <is>
          <t>Hardware discount</t>
        </is>
      </c>
      <c r="B170" s="52">
        <f>-L136*B45</f>
        <v>-0.0</v>
      </c>
      <c r="C170" s="52">
        <f>B170*12</f>
        <v>-0.0</v>
      </c>
      <c r="D170" s="34" t="inlineStr">
        <is>
          <t>No</t>
        </is>
      </c>
      <c r="E170" s="10" t="inlineStr">
        <is>
          <t>Shown separately; net hardware is included</t>
        </is>
      </c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4" t="n"/>
    </row>
    <row r="171" ht="23" customHeight="1">
      <c r="A171" s="6" t="inlineStr">
        <is>
          <t>Net node pool hardware</t>
        </is>
      </c>
      <c r="B171" s="52">
        <f>L136*(1-B45)</f>
        <v>0.0</v>
      </c>
      <c r="C171" s="52">
        <f>B171*12</f>
        <v>0.0</v>
      </c>
      <c r="D171" s="34" t="inlineStr">
        <is>
          <t>Yes</t>
        </is>
      </c>
      <c r="E171" s="10" t="inlineStr">
        <is>
          <t>Discounted compute capacity</t>
        </is>
      </c>
    </row>
    <row r="172" ht="23" customHeight="1">
      <c r="A172" s="6" t="inlineStr">
        <is>
          <t>Fixed Infrastructure</t>
        </is>
      </c>
      <c r="B172" s="52">
        <f>E144</f>
        <v>3500.0</v>
      </c>
      <c r="C172" s="52">
        <f>B172*12</f>
        <v>42000.0</v>
      </c>
      <c r="D172" s="34" t="inlineStr">
        <is>
          <t>Yes</t>
        </is>
      </c>
      <c r="E172" s="10" t="inlineStr">
        <is>
          <t>WAF, object storage, supplemental disk, ACR</t>
        </is>
      </c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4" t="n"/>
    </row>
    <row r="173" ht="23" customHeight="1">
      <c r="A173" s="6" t="inlineStr">
        <is>
          <t>PVC Storage</t>
        </is>
      </c>
      <c r="B173" s="52">
        <f>F155</f>
        <v>0.0</v>
      </c>
      <c r="C173" s="52">
        <f>B173*12</f>
        <v>0.0</v>
      </c>
      <c r="D173" s="34" t="inlineStr">
        <is>
          <t>Yes</t>
        </is>
      </c>
      <c r="E173" s="10" t="inlineStr">
        <is>
          <t>Database disk (per-node × replicas)</t>
        </is>
      </c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4" t="n"/>
    </row>
    <row r="174" ht="23" customHeight="1">
      <c r="A174" s="6" t="inlineStr">
        <is>
          <t>Software / licensing</t>
        </is>
      </c>
      <c r="B174" s="52">
        <f>E165</f>
        <v>0.0</v>
      </c>
      <c r="C174" s="52">
        <f>B174*12</f>
        <v>0.0</v>
      </c>
      <c r="D174" s="34" t="inlineStr">
        <is>
          <t>Yes</t>
        </is>
      </c>
      <c r="E174" s="10" t="inlineStr">
        <is>
          <t>Monthly conversion of applicable licenses</t>
        </is>
      </c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4" t="n"/>
    </row>
    <row r="175" ht="23" customHeight="1">
      <c r="A175" s="6" t="inlineStr">
        <is>
          <t>Support</t>
        </is>
      </c>
      <c r="B175" s="52">
        <f>L136*B46</f>
        <v>0.0</v>
      </c>
      <c r="C175" s="52">
        <f>B175*12</f>
        <v>0.0</v>
      </c>
      <c r="D175" s="34" t="inlineStr">
        <is>
          <t>Yes</t>
        </is>
      </c>
      <c r="E175" s="10" t="inlineStr">
        <is>
          <t>Monthly support on node-pool MSRP</t>
        </is>
      </c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4" t="n"/>
    </row>
    <row r="176" ht="10" customHeight="1"/>
    <row r="177" ht="28" customHeight="1">
      <c r="A177" s="1" t="inlineStr">
        <is>
          <t>GRAND TOTAL</t>
        </is>
      </c>
      <c r="B177" s="56">
        <f>B171+B172+B173+B174+B175</f>
        <v>3500.0</v>
      </c>
      <c r="C177" s="56">
        <f>C171+C172+C173+C174+C175</f>
        <v>42000.0</v>
      </c>
      <c r="D177" s="57" t="inlineStr">
        <is>
          <t>Final monthly and annualized run-rate</t>
        </is>
      </c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7" t="n"/>
    </row>
    <row r="178" ht="21" customHeight="1">
      <c r="A178" s="48" t="inlineStr">
        <is>
          <t>Cost per 1M runtime messages</t>
        </is>
      </c>
      <c r="B178" s="58">
        <f>IF(B8=0,"N/A",B177/(B8*3600*24*30/1000000))</f>
        <v/>
      </c>
      <c r="C178" s="58">
        <f>IF(B8=0,"N/A",C177/(B8*3600*24*365/1000000))</f>
        <v/>
      </c>
      <c r="D178" s="10" t="inlineStr">
        <is>
          <t>Monthly and annualized basis</t>
        </is>
      </c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4" t="n"/>
    </row>
  </sheetData>
  <sheetProtection selectLockedCells="1" selectUnlockedCells="1" sheet="1" objects="1" insertRows="0" insertHyperlinks="1" autoFilter="0" scenarios="1" formatColumns="0" deleteColumns="1" insertColumns="1" pivotTables="0" deleteRows="0" formatCells="0" formatRows="0" sort="0" password="CC62"/>
  <autoFilter ref="A1:R178"/>
  <mergeCells count="97">
    <mergeCell ref="J30:R30"/>
    <mergeCell ref="F140:R140"/>
    <mergeCell ref="A99:R99"/>
    <mergeCell ref="M84:R84"/>
    <mergeCell ref="E175:R175"/>
    <mergeCell ref="J55:R55"/>
    <mergeCell ref="J95:R95"/>
    <mergeCell ref="J31:R31"/>
    <mergeCell ref="M135:R135"/>
    <mergeCell ref="E170:R170"/>
    <mergeCell ref="G153:R153"/>
    <mergeCell ref="M134:R134"/>
    <mergeCell ref="J23:R23"/>
    <mergeCell ref="J58:R58"/>
    <mergeCell ref="F142:R142"/>
    <mergeCell ref="A167:R167"/>
    <mergeCell ref="F160:R160"/>
    <mergeCell ref="G155:R155"/>
    <mergeCell ref="J57:R57"/>
    <mergeCell ref="E172:R172"/>
    <mergeCell ref="F159:R159"/>
    <mergeCell ref="M88:R88"/>
    <mergeCell ref="E174:R174"/>
    <mergeCell ref="J34:R34"/>
    <mergeCell ref="M90:R90"/>
    <mergeCell ref="J49:R49"/>
    <mergeCell ref="J27:R27"/>
    <mergeCell ref="J11:R11"/>
    <mergeCell ref="J20:R20"/>
    <mergeCell ref="G152:R152"/>
    <mergeCell ref="M133:R133"/>
    <mergeCell ref="A71:R71"/>
    <mergeCell ref="M85:R85"/>
    <mergeCell ref="A76:R76"/>
    <mergeCell ref="J22:R22"/>
    <mergeCell ref="A116:R116"/>
    <mergeCell ref="J12:R12"/>
    <mergeCell ref="D177:R177"/>
    <mergeCell ref="A1:P1"/>
    <mergeCell ref="F143:R143"/>
    <mergeCell ref="J48:R48"/>
    <mergeCell ref="J97:R97"/>
    <mergeCell ref="M87:R87"/>
    <mergeCell ref="A157:R157"/>
    <mergeCell ref="D178:R178"/>
    <mergeCell ref="J7:P7"/>
    <mergeCell ref="J40:R40"/>
    <mergeCell ref="J8:Q8"/>
    <mergeCell ref="A128:R128"/>
    <mergeCell ref="F161:R161"/>
    <mergeCell ref="J26:R26"/>
    <mergeCell ref="J16:R16"/>
    <mergeCell ref="M101:R101"/>
    <mergeCell ref="F162:R162"/>
    <mergeCell ref="M91:R91"/>
    <mergeCell ref="F51:J53"/>
    <mergeCell ref="G150:R150"/>
    <mergeCell ref="M93:R93"/>
    <mergeCell ref="M102:R102"/>
    <mergeCell ref="J44:R44"/>
    <mergeCell ref="M92:R92"/>
    <mergeCell ref="J5:R5"/>
    <mergeCell ref="A82:R82"/>
    <mergeCell ref="J14:R14"/>
    <mergeCell ref="F163:R163"/>
    <mergeCell ref="J37:R37"/>
    <mergeCell ref="A138:R138"/>
    <mergeCell ref="J13:R13"/>
    <mergeCell ref="A146:R146"/>
    <mergeCell ref="F141:R141"/>
    <mergeCell ref="J6:R6"/>
    <mergeCell ref="J15:R15"/>
    <mergeCell ref="A66:R66"/>
    <mergeCell ref="A3:R3"/>
    <mergeCell ref="G148:R148"/>
    <mergeCell ref="J54:R54"/>
    <mergeCell ref="J41:R41"/>
    <mergeCell ref="M136:R136"/>
    <mergeCell ref="J114:L114"/>
    <mergeCell ref="G154:R154"/>
    <mergeCell ref="J56:R56"/>
    <mergeCell ref="J96:R96"/>
    <mergeCell ref="M106:R106"/>
    <mergeCell ref="E173:R173"/>
    <mergeCell ref="J18:R18"/>
    <mergeCell ref="M131:R131"/>
    <mergeCell ref="J17:R17"/>
    <mergeCell ref="G149:R149"/>
    <mergeCell ref="F164:R164"/>
    <mergeCell ref="M130:R130"/>
    <mergeCell ref="J10:R10"/>
    <mergeCell ref="J19:R19"/>
    <mergeCell ref="G151:R151"/>
    <mergeCell ref="A60:R60"/>
    <mergeCell ref="M132:R132"/>
    <mergeCell ref="J9:R9"/>
    <mergeCell ref="A2:P2"/>
  </mergeCells>
  <dataValidations count="15">
    <dataValidation sqref="B5" showDropDown="0" showInputMessage="0" showErrorMessage="0" allowBlank="0" type="list">
      <formula1>"Azure,AWS,GCP"</formula1>
    </dataValidation>
    <dataValidation sqref="D51 D52 D53 D54 D55 D56" showDropDown="0" showInputMessage="0" showErrorMessage="0" allowBlank="0" type="list">
      <formula1>"Enterprise,Self-Hosted,N/A"</formula1>
    </dataValidation>
    <dataValidation sqref="D57" showDropDown="0" showInputMessage="0" showErrorMessage="0" allowBlank="0" type="list">
      <formula1>"Self-Hosted,N/A"</formula1>
    </dataValidation>
    <dataValidation sqref="B15" showDropDown="0" showInputMessage="0" showErrorMessage="0" allowBlank="0" type="list">
      <formula1>"Yes,No"</formula1>
    </dataValidation>
    <dataValidation sqref="B16" showDropDown="0" showInputMessage="0" showErrorMessage="0" allowBlank="0" type="list">
      <formula1>"Yes,No"</formula1>
    </dataValidation>
    <dataValidation sqref="B17 B18" showDropDown="0" showInputMessage="0" showErrorMessage="0" allowBlank="0" type="list">
      <formula1>"GPU,CPU,N/A"</formula1>
    </dataValidation>
    <dataValidation sqref="B6" showDropDown="0" showInputMessage="0" showErrorMessage="0" allowBlank="0" type="list">
      <formula1>"Yes,No"</formula1>
    </dataValidation>
    <dataValidation sqref="Q7" showDropDown="0" showInputMessage="0" showErrorMessage="0" allowBlank="0" type="whole" operator="between">
      <formula1>1</formula1>
      <formula2>3</formula2>
    </dataValidation>
    <dataValidation sqref="B23" showDropDown="0" showInputMessage="0" showErrorMessage="0" allowBlank="0" type="list">
      <formula1>"Standard_D8s_v5,Standard_D16s_v5,Standard_D32s_v5,m7i.2xlarge,m7i.4xlarge,m7i.12xlarge,n2-standard-8,n2-standard-16,n2-standard-32"</formula1>
    </dataValidation>
    <dataValidation sqref="B27" showDropDown="0" showInputMessage="0" showErrorMessage="0" allowBlank="0" type="list">
      <formula1>"Standard_E16s_v5,Standard_E32s_v5,r7i.4xlarge,r7i.8xlarge,n2-highmem-16,n2-highmem-32"</formula1>
    </dataValidation>
    <dataValidation sqref="B31" showDropDown="0" showInputMessage="0" showErrorMessage="0" allowBlank="0" type="list">
      <formula1>"Standard_E8s_v5,Standard_E16s_v5,Standard_D48s_v5,r7i.2xlarge,r7i.4xlarge,r7i.12xlarge,n2-highmem-8,n2-highmem-16,n2-highmem-48"</formula1>
    </dataValidation>
    <dataValidation sqref="B41" showDropDown="0" showInputMessage="0" showErrorMessage="0" allowBlank="0" type="list">
      <formula1>"Standard_D4s_v5,Standard_D8s_v5,m7i.xlarge,m7i.2xlarge,n2-standard-4,n2-standard-8"</formula1>
    </dataValidation>
    <dataValidation sqref="B37" showDropDown="0" showInputMessage="0" showErrorMessage="0" allowBlank="0" type="list">
      <formula1>"Standard_D8s_v5,Standard_D16s_v5,m7i.2xlarge,m7i.4xlarge,n2-standard-8,n2-standard-16"</formula1>
    </dataValidation>
    <dataValidation sqref="B8 B21 B22" showDropDown="0" showInputMessage="0" showErrorMessage="0" allowBlank="0" type="decimal" operator="greaterThan">
      <formula1>0</formula1>
    </dataValidation>
    <dataValidation sqref="B9 B10 B11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2026-05-19T04:38:22Z</dcterms:created>
  <dcterms:modified xmlns:dcterms="http://purl.org/dc/terms/" xmlns:xsi="http://www.w3.org/2001/XMLSchema-instance" xsi:type="dcterms:W3CDTF">2026-05-19T04:38:22Z</dcterms:modified>
</cp:coreProperties>
</file>